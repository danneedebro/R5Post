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Småjobb\2019\R34-Blowdown-VVX-erf-flode\Modell\Steady-state VVX-heattransfer\"/>
    </mc:Choice>
  </mc:AlternateContent>
  <xr:revisionPtr revIDLastSave="0" documentId="13_ncr:1_{4DF4B70A-BB0C-4CE7-A29E-B04BBF7FE706}" xr6:coauthVersionLast="36" xr6:coauthVersionMax="36" xr10:uidLastSave="{00000000-0000-0000-0000-000000000000}"/>
  <bookViews>
    <workbookView xWindow="0" yWindow="0" windowWidth="28800" windowHeight="14610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H24" i="1" l="1"/>
  <c r="BH18" i="1"/>
  <c r="BH17" i="1"/>
  <c r="BH16" i="1"/>
  <c r="BH15" i="1"/>
  <c r="BH14" i="1"/>
  <c r="BH13" i="1"/>
  <c r="BH12" i="1"/>
  <c r="BF24" i="1"/>
  <c r="BF18" i="1"/>
  <c r="BF17" i="1"/>
  <c r="BF16" i="1"/>
  <c r="BF15" i="1"/>
  <c r="BF14" i="1"/>
  <c r="BF13" i="1"/>
  <c r="BF12" i="1"/>
  <c r="BD24" i="1"/>
  <c r="BD18" i="1"/>
  <c r="BD17" i="1"/>
  <c r="BD16" i="1"/>
  <c r="BD15" i="1"/>
  <c r="BD14" i="1"/>
  <c r="BD13" i="1"/>
  <c r="BD12" i="1"/>
  <c r="BB24" i="1"/>
  <c r="BB18" i="1"/>
  <c r="BB17" i="1"/>
  <c r="BB16" i="1"/>
  <c r="BB15" i="1"/>
  <c r="BB14" i="1"/>
  <c r="BB13" i="1"/>
  <c r="BB12" i="1"/>
  <c r="AZ24" i="1"/>
  <c r="AZ18" i="1"/>
  <c r="AZ17" i="1"/>
  <c r="AZ16" i="1"/>
  <c r="AZ15" i="1"/>
  <c r="AZ14" i="1"/>
  <c r="AZ13" i="1"/>
  <c r="AZ12" i="1"/>
  <c r="AX24" i="1"/>
  <c r="AX18" i="1"/>
  <c r="AX17" i="1"/>
  <c r="AX16" i="1"/>
  <c r="AX15" i="1"/>
  <c r="AX14" i="1"/>
  <c r="AX13" i="1"/>
  <c r="AX12" i="1"/>
  <c r="AV24" i="1"/>
  <c r="AV18" i="1"/>
  <c r="AV17" i="1"/>
  <c r="AV16" i="1"/>
  <c r="AV15" i="1"/>
  <c r="AV14" i="1"/>
  <c r="AV13" i="1"/>
  <c r="AV12" i="1"/>
  <c r="AT24" i="1"/>
  <c r="AT18" i="1"/>
  <c r="AT17" i="1"/>
  <c r="AT16" i="1"/>
  <c r="AT15" i="1"/>
  <c r="AT14" i="1"/>
  <c r="AT13" i="1"/>
  <c r="AT12" i="1"/>
  <c r="AR24" i="1"/>
  <c r="AR18" i="1"/>
  <c r="AR17" i="1"/>
  <c r="AR16" i="1"/>
  <c r="AR15" i="1"/>
  <c r="AR14" i="1"/>
  <c r="AR13" i="1"/>
  <c r="AR12" i="1"/>
  <c r="AP24" i="1"/>
  <c r="AP18" i="1"/>
  <c r="AP17" i="1"/>
  <c r="AP16" i="1"/>
  <c r="AP15" i="1"/>
  <c r="AP14" i="1"/>
  <c r="AP13" i="1"/>
  <c r="AP12" i="1"/>
  <c r="AN24" i="1"/>
  <c r="AN18" i="1"/>
  <c r="AN17" i="1"/>
  <c r="AN16" i="1"/>
  <c r="AN15" i="1"/>
  <c r="AN14" i="1"/>
  <c r="AN13" i="1"/>
  <c r="AN12" i="1"/>
  <c r="AL24" i="1"/>
  <c r="AL18" i="1"/>
  <c r="AL17" i="1"/>
  <c r="AL16" i="1"/>
  <c r="AL15" i="1"/>
  <c r="AL14" i="1"/>
  <c r="AL13" i="1"/>
  <c r="AL12" i="1"/>
  <c r="AJ24" i="1"/>
  <c r="AJ18" i="1"/>
  <c r="AJ17" i="1"/>
  <c r="AJ16" i="1"/>
  <c r="AJ15" i="1"/>
  <c r="AJ14" i="1"/>
  <c r="AJ13" i="1"/>
  <c r="AJ12" i="1"/>
  <c r="AH24" i="1"/>
  <c r="AH18" i="1"/>
  <c r="AH17" i="1"/>
  <c r="AH16" i="1"/>
  <c r="AH15" i="1"/>
  <c r="AH14" i="1"/>
  <c r="AH13" i="1"/>
  <c r="AH12" i="1"/>
  <c r="AF24" i="1"/>
  <c r="AF18" i="1"/>
  <c r="AF17" i="1"/>
  <c r="AF16" i="1"/>
  <c r="AF15" i="1"/>
  <c r="AF14" i="1"/>
  <c r="AF13" i="1"/>
  <c r="AF12" i="1"/>
  <c r="AD24" i="1"/>
  <c r="AD18" i="1"/>
  <c r="AD17" i="1"/>
  <c r="AD16" i="1"/>
  <c r="AD15" i="1"/>
  <c r="AD14" i="1"/>
  <c r="AD13" i="1"/>
  <c r="AD12" i="1"/>
  <c r="AB24" i="1"/>
  <c r="AB18" i="1"/>
  <c r="AB17" i="1"/>
  <c r="AB16" i="1"/>
  <c r="AB15" i="1"/>
  <c r="AB14" i="1"/>
  <c r="AB13" i="1"/>
  <c r="AB12" i="1"/>
  <c r="Z24" i="1"/>
  <c r="Z18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L17" i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7" i="1"/>
  <c r="D16" i="1"/>
  <c r="D15" i="1"/>
  <c r="D14" i="1"/>
  <c r="D13" i="1"/>
  <c r="D12" i="1"/>
  <c r="BH32" i="1"/>
  <c r="BH26" i="1"/>
  <c r="BH31" i="1"/>
  <c r="BH25" i="1"/>
  <c r="BH30" i="1"/>
  <c r="BH27" i="1"/>
  <c r="BH23" i="1"/>
  <c r="BF31" i="1"/>
  <c r="BF25" i="1"/>
  <c r="BF23" i="1"/>
  <c r="BF26" i="1"/>
  <c r="BF30" i="1"/>
  <c r="BF27" i="1"/>
  <c r="BF32" i="1"/>
  <c r="BD32" i="1"/>
  <c r="BD26" i="1"/>
  <c r="BD23" i="1"/>
  <c r="BD31" i="1"/>
  <c r="BD25" i="1"/>
  <c r="BD30" i="1"/>
  <c r="BD27" i="1"/>
  <c r="BB32" i="1"/>
  <c r="BB26" i="1"/>
  <c r="BB23" i="1"/>
  <c r="BB31" i="1"/>
  <c r="BB25" i="1"/>
  <c r="BB30" i="1"/>
  <c r="BB27" i="1"/>
  <c r="AZ32" i="1"/>
  <c r="AZ26" i="1"/>
  <c r="AZ27" i="1"/>
  <c r="AZ31" i="1"/>
  <c r="AZ25" i="1"/>
  <c r="AZ30" i="1"/>
  <c r="AZ23" i="1"/>
  <c r="AX32" i="1"/>
  <c r="AX26" i="1"/>
  <c r="AX31" i="1"/>
  <c r="AX25" i="1"/>
  <c r="AX30" i="1"/>
  <c r="AX27" i="1"/>
  <c r="AX23" i="1"/>
  <c r="AV31" i="1"/>
  <c r="AV25" i="1"/>
  <c r="AV30" i="1"/>
  <c r="AV26" i="1"/>
  <c r="AV27" i="1"/>
  <c r="AV23" i="1"/>
  <c r="AV32" i="1"/>
  <c r="AT32" i="1"/>
  <c r="AT26" i="1"/>
  <c r="AT31" i="1"/>
  <c r="AT25" i="1"/>
  <c r="AT27" i="1"/>
  <c r="AT23" i="1"/>
  <c r="AT30" i="1"/>
  <c r="AR30" i="1"/>
  <c r="AR32" i="1"/>
  <c r="AR31" i="1"/>
  <c r="AR27" i="1"/>
  <c r="AR23" i="1"/>
  <c r="AR26" i="1"/>
  <c r="AR25" i="1"/>
  <c r="AP32" i="1"/>
  <c r="AP26" i="1"/>
  <c r="AP31" i="1"/>
  <c r="AP25" i="1"/>
  <c r="AP30" i="1"/>
  <c r="AP27" i="1"/>
  <c r="AP23" i="1"/>
  <c r="AN32" i="1"/>
  <c r="AN26" i="1"/>
  <c r="AN31" i="1"/>
  <c r="AN25" i="1"/>
  <c r="AN30" i="1"/>
  <c r="AN27" i="1"/>
  <c r="AN23" i="1"/>
  <c r="AL32" i="1"/>
  <c r="AL26" i="1"/>
  <c r="AL31" i="1"/>
  <c r="AL25" i="1"/>
  <c r="AL30" i="1"/>
  <c r="AL27" i="1"/>
  <c r="AL23" i="1"/>
  <c r="AJ32" i="1"/>
  <c r="AJ26" i="1"/>
  <c r="AJ31" i="1"/>
  <c r="AJ25" i="1"/>
  <c r="AJ30" i="1"/>
  <c r="AJ27" i="1"/>
  <c r="AJ23" i="1"/>
  <c r="AH32" i="1"/>
  <c r="AH26" i="1"/>
  <c r="AH25" i="1"/>
  <c r="AH30" i="1"/>
  <c r="AH27" i="1"/>
  <c r="AH23" i="1"/>
  <c r="AH31" i="1"/>
  <c r="AF32" i="1"/>
  <c r="AF26" i="1"/>
  <c r="AF23" i="1"/>
  <c r="AF31" i="1"/>
  <c r="AF25" i="1"/>
  <c r="AF30" i="1"/>
  <c r="AF27" i="1"/>
  <c r="AD32" i="1"/>
  <c r="AD26" i="1"/>
  <c r="AD31" i="1"/>
  <c r="AD25" i="1"/>
  <c r="AD23" i="1"/>
  <c r="AD30" i="1"/>
  <c r="AD27" i="1"/>
  <c r="AB32" i="1"/>
  <c r="AB26" i="1"/>
  <c r="AB31" i="1"/>
  <c r="AB25" i="1"/>
  <c r="AB23" i="1"/>
  <c r="AB30" i="1"/>
  <c r="AB27" i="1"/>
  <c r="Z32" i="1"/>
  <c r="Z26" i="1"/>
  <c r="Z31" i="1"/>
  <c r="Z25" i="1"/>
  <c r="Z27" i="1"/>
  <c r="Z23" i="1"/>
  <c r="Z30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B12" i="1"/>
  <c r="V26" i="1"/>
  <c r="P27" i="1"/>
  <c r="V23" i="1"/>
  <c r="R31" i="1"/>
  <c r="R25" i="1"/>
  <c r="T25" i="1"/>
  <c r="X27" i="1"/>
  <c r="T27" i="1"/>
  <c r="T32" i="1"/>
  <c r="R32" i="1"/>
  <c r="X32" i="1"/>
  <c r="R30" i="1"/>
  <c r="X26" i="1"/>
  <c r="R27" i="1"/>
  <c r="V27" i="1"/>
  <c r="X31" i="1"/>
  <c r="T31" i="1"/>
  <c r="P26" i="1"/>
  <c r="T23" i="1"/>
  <c r="X23" i="1"/>
  <c r="T26" i="1"/>
  <c r="R23" i="1"/>
  <c r="V25" i="1"/>
  <c r="P32" i="1"/>
  <c r="V32" i="1"/>
  <c r="V30" i="1"/>
  <c r="P23" i="1"/>
  <c r="V31" i="1"/>
  <c r="P31" i="1"/>
  <c r="P30" i="1"/>
  <c r="R26" i="1"/>
  <c r="X25" i="1"/>
  <c r="T30" i="1"/>
  <c r="P25" i="1"/>
  <c r="X30" i="1"/>
  <c r="N31" i="1"/>
  <c r="N26" i="1"/>
  <c r="N27" i="1"/>
  <c r="N25" i="1"/>
  <c r="N30" i="1"/>
  <c r="N32" i="1"/>
  <c r="N23" i="1"/>
  <c r="L31" i="1"/>
  <c r="L32" i="1"/>
  <c r="L30" i="1"/>
  <c r="L26" i="1"/>
  <c r="L25" i="1"/>
  <c r="L27" i="1"/>
  <c r="L23" i="1"/>
  <c r="J27" i="1"/>
  <c r="J31" i="1"/>
  <c r="J30" i="1"/>
  <c r="J23" i="1"/>
  <c r="J32" i="1"/>
  <c r="J26" i="1"/>
  <c r="J25" i="1"/>
  <c r="H27" i="1"/>
  <c r="H32" i="1"/>
  <c r="H23" i="1"/>
  <c r="H26" i="1"/>
  <c r="H31" i="1"/>
  <c r="H25" i="1"/>
  <c r="H30" i="1"/>
  <c r="F32" i="1"/>
  <c r="F25" i="1"/>
  <c r="F27" i="1"/>
  <c r="F30" i="1"/>
  <c r="F31" i="1"/>
  <c r="F23" i="1"/>
  <c r="F26" i="1"/>
  <c r="D27" i="1"/>
  <c r="D23" i="1"/>
  <c r="D26" i="1"/>
  <c r="D25" i="1"/>
  <c r="D32" i="1"/>
  <c r="D30" i="1"/>
  <c r="D31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B23" i="1"/>
  <c r="B27" i="1"/>
  <c r="B30" i="1"/>
  <c r="B26" i="1"/>
  <c r="B31" i="1"/>
  <c r="B25" i="1"/>
  <c r="B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<sst xmlns="http://schemas.openxmlformats.org/spreadsheetml/2006/main" count="60" uniqueCount="49">
  <si>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</si>
  <si>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</si>
  <si>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</si>
  <si>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</si>
  <si>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</si>
  <si>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</si>
  <si>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</si>
  <si>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</si>
  <si>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</si>
  <si>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</si>
  <si>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</si>
  <si>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</si>
  <si>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</si>
  <si>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</si>
  <si>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</si>
  <si>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</si>
  <si>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</si>
  <si>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>plottaStripfil.m =</t>
  </si>
  <si>
    <t xml:space="preserve">Param file </t>
  </si>
  <si>
    <t>Stripfile.strip.txt</t>
  </si>
  <si>
    <t>Stripfile.strip</t>
  </si>
  <si>
    <t>Case2</t>
  </si>
  <si>
    <t>H:\RELAP5\Script\plottaStripfil\plottaStripfil.m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</si>
  <si>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</si>
  <si>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</si>
  <si>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</si>
  <si>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</si>
  <si>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</si>
  <si>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</si>
  <si>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</si>
  <si>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</si>
  <si>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</si>
  <si>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</si>
  <si>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</si>
  <si>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H:\RELAP5\bin\relap5\relap5mod3.3patch03\relap5.exe</t>
  </si>
  <si>
    <t>Case3</t>
  </si>
  <si>
    <t>Actions</t>
  </si>
  <si>
    <t>gs.exe</t>
  </si>
  <si>
    <t>H:\RELAP5\Script\gs9.10\bin\gswin64c.exe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</si>
  <si>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</si>
  <si>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Case4</t>
  </si>
  <si>
    <t>Case5</t>
  </si>
  <si>
    <t>Case6</t>
  </si>
  <si>
    <t>Design - default-default</t>
  </si>
  <si>
    <t>Max - default-default</t>
  </si>
  <si>
    <t>Design - default-horizontal bundle 1</t>
  </si>
  <si>
    <t>Design - default-horizontal bundle 2</t>
  </si>
  <si>
    <t>Max - default-horizontal bundle 1</t>
  </si>
  <si>
    <t>Max - default-horizontal bundle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</si>
</sst>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kr&quot;;[Red]\-#,##0.00\ &quot;kr&quot;"/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0" xfId="2" applyFill="1" applyBorder="1"/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B16" sqref="B16:C16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39</v>
      </c>
    </row>
    <row r="2" spans="1:61" ht="15.75" x14ac:dyDescent="0.25">
      <c r="F2" s="42" t="s">
        <v>30</v>
      </c>
      <c r="G2" s="43"/>
      <c r="H2" s="43"/>
      <c r="I2" s="43"/>
      <c r="J2" s="43"/>
      <c r="K2" s="44"/>
    </row>
    <row r="3" spans="1:61" x14ac:dyDescent="0.25">
      <c r="F3" s="20" t="s">
        <v>31</v>
      </c>
      <c r="G3" s="45" t="s">
        <v>34</v>
      </c>
      <c r="H3" s="45"/>
      <c r="I3" s="45"/>
      <c r="J3" s="45"/>
      <c r="K3" s="25" t="s">
        <v>4</v>
      </c>
    </row>
    <row r="4" spans="1:61" x14ac:dyDescent="0.25">
      <c r="F4" s="20" t="s">
        <v>16</v>
      </c>
      <c r="G4" s="45" t="s">
        <v>23</v>
      </c>
      <c r="H4" s="45"/>
      <c r="I4" s="45"/>
      <c r="J4" s="45"/>
      <c r="K4" s="25" t="s">
        <v>4</v>
      </c>
    </row>
    <row r="5" spans="1:61" x14ac:dyDescent="0.25">
      <c r="F5" s="20" t="s">
        <v>17</v>
      </c>
      <c r="G5" s="45" t="s">
        <v>22</v>
      </c>
      <c r="H5" s="45"/>
      <c r="I5" s="45"/>
      <c r="J5" s="45"/>
      <c r="K5" s="25" t="s">
        <v>4</v>
      </c>
    </row>
    <row r="6" spans="1:61" x14ac:dyDescent="0.25">
      <c r="F6" s="20" t="s">
        <v>25</v>
      </c>
      <c r="G6" s="45" t="s">
        <v>26</v>
      </c>
      <c r="H6" s="45"/>
      <c r="I6" s="45"/>
      <c r="J6" s="45"/>
      <c r="K6" s="25" t="s">
        <v>4</v>
      </c>
    </row>
    <row r="7" spans="1:61" x14ac:dyDescent="0.25">
      <c r="F7" s="20" t="s">
        <v>37</v>
      </c>
      <c r="G7" s="45" t="s">
        <v>38</v>
      </c>
      <c r="H7" s="45"/>
      <c r="I7" s="45"/>
      <c r="J7" s="45"/>
      <c r="K7" s="25" t="s">
        <v>4</v>
      </c>
    </row>
    <row r="8" spans="1:61" ht="15.75" x14ac:dyDescent="0.25">
      <c r="A8" s="42" t="s">
        <v>29</v>
      </c>
      <c r="B8" s="47"/>
      <c r="C8" s="48"/>
      <c r="F8" s="20"/>
      <c r="G8" s="45"/>
      <c r="H8" s="45"/>
      <c r="I8" s="45"/>
      <c r="J8" s="45"/>
      <c r="K8" s="25"/>
    </row>
    <row r="9" spans="1:61" ht="15.75" x14ac:dyDescent="0.25">
      <c r="A9" s="17" t="s">
        <v>27</v>
      </c>
      <c r="B9" s="52" t="s">
        <v>20</v>
      </c>
      <c r="C9" s="23">
        <v>43706.624259259261</v>
      </c>
      <c r="F9" s="20"/>
      <c r="G9" s="45"/>
      <c r="H9" s="45"/>
      <c r="I9" s="45"/>
      <c r="J9" s="45"/>
      <c r="K9" s="25"/>
    </row>
    <row r="10" spans="1:61" ht="15.75" x14ac:dyDescent="0.25">
      <c r="A10" s="17" t="s">
        <v>28</v>
      </c>
      <c r="B10" s="52" t="s">
        <v>19</v>
      </c>
      <c r="C10" s="23">
        <v>43706.625821759262</v>
      </c>
      <c r="F10" s="21"/>
      <c r="G10" s="46"/>
      <c r="H10" s="46"/>
      <c r="I10" s="46"/>
      <c r="J10" s="46"/>
      <c r="K10" s="22"/>
    </row>
    <row r="11" spans="1:61" ht="15.75" x14ac:dyDescent="0.25">
      <c r="A11" s="18" t="s">
        <v>32</v>
      </c>
      <c r="B11" s="19" t="s">
        <v>33</v>
      </c>
      <c r="C11" s="24" t="s">
        <v>24</v>
      </c>
    </row>
    <row r="12" spans="1:61" ht="15.75" customHeight="1" x14ac:dyDescent="0.25">
      <c r="A12" s="49" t="s">
        <v>36</v>
      </c>
      <c r="B12" s="32" t="str">
        <f>IF(B$19="","","(Calc)")</f>
        <v>(Calc)</v>
      </c>
      <c r="C12" s="33"/>
      <c r="D12" s="30" t="str">
        <f>IF(D$19="","","(Calc)")</f>
        <v>(Calc)</v>
      </c>
      <c r="E12" s="31"/>
      <c r="F12" s="30" t="str">
        <f>IF(F$19="","","(Calc)")</f>
        <v>(Calc)</v>
      </c>
      <c r="G12" s="31"/>
      <c r="H12" s="30" t="str">
        <f>IF(H$19="","","(Calc)")</f>
        <v>(Calc)</v>
      </c>
      <c r="I12" s="31"/>
      <c r="J12" s="30" t="str">
        <f>IF(J$19="","","(Calc)")</f>
        <v>(Calc)</v>
      </c>
      <c r="K12" s="31"/>
      <c r="L12" s="30" t="str">
        <f>IF(L$19="","","(Calc)")</f>
        <v>(Calc)</v>
      </c>
      <c r="M12" s="31"/>
      <c r="N12" s="30" t="str">
        <f>IF(N$19="","","(Calc)")</f>
        <v/>
      </c>
      <c r="O12" s="31"/>
      <c r="P12" s="30" t="str">
        <f>IF(P$19="","","(Calc)")</f>
        <v/>
      </c>
      <c r="Q12" s="31"/>
      <c r="R12" s="30" t="str">
        <f>IF(R$19="","","(Calc)")</f>
        <v/>
      </c>
      <c r="S12" s="31"/>
      <c r="T12" s="30" t="str">
        <f>IF(T$19="","","(Calc)")</f>
        <v/>
      </c>
      <c r="U12" s="31"/>
      <c r="V12" s="30" t="str">
        <f>IF(V$19="","","(Calc)")</f>
        <v/>
      </c>
      <c r="W12" s="31"/>
      <c r="X12" s="30" t="str">
        <f>IF(X$19="","","(Calc)")</f>
        <v/>
      </c>
      <c r="Y12" s="31"/>
      <c r="Z12" s="30" t="str">
        <f>IF(Z$19="","","(Calc)")</f>
        <v/>
      </c>
      <c r="AA12" s="31"/>
      <c r="AB12" s="30" t="str">
        <f>IF(AB$19="","","(Calc)")</f>
        <v/>
      </c>
      <c r="AC12" s="31"/>
      <c r="AD12" s="30" t="str">
        <f>IF(AD$19="","","(Calc)")</f>
        <v/>
      </c>
      <c r="AE12" s="31"/>
      <c r="AF12" s="30" t="str">
        <f>IF(AF$19="","","(Calc)")</f>
        <v/>
      </c>
      <c r="AG12" s="31"/>
      <c r="AH12" s="30" t="str">
        <f>IF(AH$19="","","(Calc)")</f>
        <v/>
      </c>
      <c r="AI12" s="31"/>
      <c r="AJ12" s="30" t="str">
        <f>IF(AJ$19="","","(Calc)")</f>
        <v/>
      </c>
      <c r="AK12" s="31"/>
      <c r="AL12" s="30" t="str">
        <f>IF(AL$19="","","(Calc)")</f>
        <v/>
      </c>
      <c r="AM12" s="31"/>
      <c r="AN12" s="30" t="str">
        <f>IF(AN$19="","","(Calc)")</f>
        <v/>
      </c>
      <c r="AO12" s="31"/>
      <c r="AP12" s="30" t="str">
        <f>IF(AP$19="","","(Calc)")</f>
        <v/>
      </c>
      <c r="AQ12" s="31"/>
      <c r="AR12" s="30" t="str">
        <f>IF(AR$19="","","(Calc)")</f>
        <v/>
      </c>
      <c r="AS12" s="31"/>
      <c r="AT12" s="30" t="str">
        <f>IF(AT$19="","","(Calc)")</f>
        <v/>
      </c>
      <c r="AU12" s="31"/>
      <c r="AV12" s="30" t="str">
        <f>IF(AV$19="","","(Calc)")</f>
        <v/>
      </c>
      <c r="AW12" s="31"/>
      <c r="AX12" s="30" t="str">
        <f>IF(AX$19="","","(Calc)")</f>
        <v/>
      </c>
      <c r="AY12" s="31"/>
      <c r="AZ12" s="30" t="str">
        <f>IF(AZ$19="","","(Calc)")</f>
        <v/>
      </c>
      <c r="BA12" s="31"/>
      <c r="BB12" s="30" t="str">
        <f>IF(BB$19="","","(Calc)")</f>
        <v/>
      </c>
      <c r="BC12" s="31"/>
      <c r="BD12" s="30" t="str">
        <f>IF(BD$19="","","(Calc)")</f>
        <v/>
      </c>
      <c r="BE12" s="31"/>
      <c r="BF12" s="30" t="str">
        <f>IF(BF$19="","","(Calc)")</f>
        <v/>
      </c>
      <c r="BG12" s="31"/>
      <c r="BH12" s="30" t="str">
        <f>IF(BH$19="","","(Calc)")</f>
        <v/>
      </c>
      <c r="BI12" s="31"/>
    </row>
    <row r="13" spans="1:61" ht="15.75" customHeight="1" x14ac:dyDescent="0.25">
      <c r="A13" s="50"/>
      <c r="B13" s="32" t="str">
        <f>IF(B$19="","","(Calc+Strip+Demux)")</f>
        <v>(Calc+Strip+Demux)</v>
      </c>
      <c r="C13" s="33"/>
      <c r="D13" s="32" t="str">
        <f>IF(D$19="","","(Calc+Strip+Demux)")</f>
        <v>(Calc+Strip+Demux)</v>
      </c>
      <c r="E13" s="33"/>
      <c r="F13" s="32" t="str">
        <f>IF(F$19="","","(Calc+Strip+Demux)")</f>
        <v>(Calc+Strip+Demux)</v>
      </c>
      <c r="G13" s="33"/>
      <c r="H13" s="32" t="str">
        <f>IF(H$19="","","(Calc+Strip+Demux)")</f>
        <v>(Calc+Strip+Demux)</v>
      </c>
      <c r="I13" s="33"/>
      <c r="J13" s="32" t="str">
        <f>IF(J$19="","","(Calc+Strip+Demux)")</f>
        <v>(Calc+Strip+Demux)</v>
      </c>
      <c r="K13" s="33"/>
      <c r="L13" s="32" t="str">
        <f>IF(L$19="","","(Calc+Strip+Demux)")</f>
        <v>(Calc+Strip+Demux)</v>
      </c>
      <c r="M13" s="33"/>
      <c r="N13" s="32" t="str">
        <f>IF(N$19="","","(Calc+Strip+Demux)")</f>
        <v/>
      </c>
      <c r="O13" s="33"/>
      <c r="P13" s="32" t="str">
        <f>IF(P$19="","","(Calc+Strip+Demux)")</f>
        <v/>
      </c>
      <c r="Q13" s="33"/>
      <c r="R13" s="32" t="str">
        <f>IF(R$19="","","(Calc+Strip+Demux)")</f>
        <v/>
      </c>
      <c r="S13" s="33"/>
      <c r="T13" s="32" t="str">
        <f>IF(T$19="","","(Calc+Strip+Demux)")</f>
        <v/>
      </c>
      <c r="U13" s="33"/>
      <c r="V13" s="32" t="str">
        <f>IF(V$19="","","(Calc+Strip+Demux)")</f>
        <v/>
      </c>
      <c r="W13" s="33"/>
      <c r="X13" s="32" t="str">
        <f>IF(X$19="","","(Calc+Strip+Demux)")</f>
        <v/>
      </c>
      <c r="Y13" s="33"/>
      <c r="Z13" s="32" t="str">
        <f>IF(Z$19="","","(Calc+Strip+Demux)")</f>
        <v/>
      </c>
      <c r="AA13" s="33"/>
      <c r="AB13" s="32" t="str">
        <f>IF(AB$19="","","(Calc+Strip+Demux)")</f>
        <v/>
      </c>
      <c r="AC13" s="33"/>
      <c r="AD13" s="32" t="str">
        <f>IF(AD$19="","","(Calc+Strip+Demux)")</f>
        <v/>
      </c>
      <c r="AE13" s="33"/>
      <c r="AF13" s="32" t="str">
        <f>IF(AF$19="","","(Calc+Strip+Demux)")</f>
        <v/>
      </c>
      <c r="AG13" s="33"/>
      <c r="AH13" s="32" t="str">
        <f>IF(AH$19="","","(Calc+Strip+Demux)")</f>
        <v/>
      </c>
      <c r="AI13" s="33"/>
      <c r="AJ13" s="32" t="str">
        <f>IF(AJ$19="","","(Calc+Strip+Demux)")</f>
        <v/>
      </c>
      <c r="AK13" s="33"/>
      <c r="AL13" s="32" t="str">
        <f>IF(AL$19="","","(Calc+Strip+Demux)")</f>
        <v/>
      </c>
      <c r="AM13" s="33"/>
      <c r="AN13" s="32" t="str">
        <f>IF(AN$19="","","(Calc+Strip+Demux)")</f>
        <v/>
      </c>
      <c r="AO13" s="33"/>
      <c r="AP13" s="32" t="str">
        <f>IF(AP$19="","","(Calc+Strip+Demux)")</f>
        <v/>
      </c>
      <c r="AQ13" s="33"/>
      <c r="AR13" s="32" t="str">
        <f>IF(AR$19="","","(Calc+Strip+Demux)")</f>
        <v/>
      </c>
      <c r="AS13" s="33"/>
      <c r="AT13" s="32" t="str">
        <f>IF(AT$19="","","(Calc+Strip+Demux)")</f>
        <v/>
      </c>
      <c r="AU13" s="33"/>
      <c r="AV13" s="32" t="str">
        <f>IF(AV$19="","","(Calc+Strip+Demux)")</f>
        <v/>
      </c>
      <c r="AW13" s="33"/>
      <c r="AX13" s="32" t="str">
        <f>IF(AX$19="","","(Calc+Strip+Demux)")</f>
        <v/>
      </c>
      <c r="AY13" s="33"/>
      <c r="AZ13" s="32" t="str">
        <f>IF(AZ$19="","","(Calc+Strip+Demux)")</f>
        <v/>
      </c>
      <c r="BA13" s="33"/>
      <c r="BB13" s="32" t="str">
        <f>IF(BB$19="","","(Calc+Strip+Demux)")</f>
        <v/>
      </c>
      <c r="BC13" s="33"/>
      <c r="BD13" s="32" t="str">
        <f>IF(BD$19="","","(Calc+Strip+Demux)")</f>
        <v/>
      </c>
      <c r="BE13" s="33"/>
      <c r="BF13" s="32" t="str">
        <f>IF(BF$19="","","(Calc+Strip+Demux)")</f>
        <v/>
      </c>
      <c r="BG13" s="33"/>
      <c r="BH13" s="32" t="str">
        <f>IF(BH$19="","","(Calc+Strip+Demux)")</f>
        <v/>
      </c>
      <c r="BI13" s="33"/>
    </row>
    <row r="14" spans="1:61" ht="15.75" customHeight="1" x14ac:dyDescent="0.25">
      <c r="A14" s="50"/>
      <c r="B14" s="32" t="str">
        <f>IF(B$19="","","(Strip+Demux)")</f>
        <v>(Strip+Demux)</v>
      </c>
      <c r="C14" s="33"/>
      <c r="D14" s="32" t="str">
        <f>IF(D$19="","","(Strip+Demux)")</f>
        <v>(Strip+Demux)</v>
      </c>
      <c r="E14" s="33"/>
      <c r="F14" s="32" t="str">
        <f>IF(F$19="","","(Strip+Demux)")</f>
        <v>(Strip+Demux)</v>
      </c>
      <c r="G14" s="33"/>
      <c r="H14" s="32" t="str">
        <f>IF(H$19="","","(Strip+Demux)")</f>
        <v>(Strip+Demux)</v>
      </c>
      <c r="I14" s="33"/>
      <c r="J14" s="32" t="str">
        <f>IF(J$19="","","(Strip+Demux)")</f>
        <v>(Strip+Demux)</v>
      </c>
      <c r="K14" s="33"/>
      <c r="L14" s="32" t="str">
        <f>IF(L$19="","","(Strip+Demux)")</f>
        <v>(Strip+Demux)</v>
      </c>
      <c r="M14" s="33"/>
      <c r="N14" s="32" t="str">
        <f>IF(N$19="","","(Strip+Demux)")</f>
        <v/>
      </c>
      <c r="O14" s="33"/>
      <c r="P14" s="32" t="str">
        <f>IF(P$19="","","(Strip+Demux)")</f>
        <v/>
      </c>
      <c r="Q14" s="33"/>
      <c r="R14" s="32" t="str">
        <f>IF(R$19="","","(Strip+Demux)")</f>
        <v/>
      </c>
      <c r="S14" s="33"/>
      <c r="T14" s="32" t="str">
        <f>IF(T$19="","","(Strip+Demux)")</f>
        <v/>
      </c>
      <c r="U14" s="33"/>
      <c r="V14" s="32" t="str">
        <f>IF(V$19="","","(Strip+Demux)")</f>
        <v/>
      </c>
      <c r="W14" s="33"/>
      <c r="X14" s="32" t="str">
        <f>IF(X$19="","","(Strip+Demux)")</f>
        <v/>
      </c>
      <c r="Y14" s="33"/>
      <c r="Z14" s="32" t="str">
        <f>IF(Z$19="","","(Strip+Demux)")</f>
        <v/>
      </c>
      <c r="AA14" s="33"/>
      <c r="AB14" s="32" t="str">
        <f>IF(AB$19="","","(Strip+Demux)")</f>
        <v/>
      </c>
      <c r="AC14" s="33"/>
      <c r="AD14" s="32" t="str">
        <f>IF(AD$19="","","(Strip+Demux)")</f>
        <v/>
      </c>
      <c r="AE14" s="33"/>
      <c r="AF14" s="32" t="str">
        <f>IF(AF$19="","","(Strip+Demux)")</f>
        <v/>
      </c>
      <c r="AG14" s="33"/>
      <c r="AH14" s="32" t="str">
        <f>IF(AH$19="","","(Strip+Demux)")</f>
        <v/>
      </c>
      <c r="AI14" s="33"/>
      <c r="AJ14" s="32" t="str">
        <f>IF(AJ$19="","","(Strip+Demux)")</f>
        <v/>
      </c>
      <c r="AK14" s="33"/>
      <c r="AL14" s="32" t="str">
        <f>IF(AL$19="","","(Strip+Demux)")</f>
        <v/>
      </c>
      <c r="AM14" s="33"/>
      <c r="AN14" s="32" t="str">
        <f>IF(AN$19="","","(Strip+Demux)")</f>
        <v/>
      </c>
      <c r="AO14" s="33"/>
      <c r="AP14" s="32" t="str">
        <f>IF(AP$19="","","(Strip+Demux)")</f>
        <v/>
      </c>
      <c r="AQ14" s="33"/>
      <c r="AR14" s="32" t="str">
        <f>IF(AR$19="","","(Strip+Demux)")</f>
        <v/>
      </c>
      <c r="AS14" s="33"/>
      <c r="AT14" s="32" t="str">
        <f>IF(AT$19="","","(Strip+Demux)")</f>
        <v/>
      </c>
      <c r="AU14" s="33"/>
      <c r="AV14" s="32" t="str">
        <f>IF(AV$19="","","(Strip+Demux)")</f>
        <v/>
      </c>
      <c r="AW14" s="33"/>
      <c r="AX14" s="32" t="str">
        <f>IF(AX$19="","","(Strip+Demux)")</f>
        <v/>
      </c>
      <c r="AY14" s="33"/>
      <c r="AZ14" s="32" t="str">
        <f>IF(AZ$19="","","(Strip+Demux)")</f>
        <v/>
      </c>
      <c r="BA14" s="33"/>
      <c r="BB14" s="32" t="str">
        <f>IF(BB$19="","","(Strip+Demux)")</f>
        <v/>
      </c>
      <c r="BC14" s="33"/>
      <c r="BD14" s="32" t="str">
        <f>IF(BD$19="","","(Strip+Demux)")</f>
        <v/>
      </c>
      <c r="BE14" s="33"/>
      <c r="BF14" s="32" t="str">
        <f>IF(BF$19="","","(Strip+Demux)")</f>
        <v/>
      </c>
      <c r="BG14" s="33"/>
      <c r="BH14" s="32" t="str">
        <f>IF(BH$19="","","(Strip+Demux)")</f>
        <v/>
      </c>
      <c r="BI14" s="33"/>
    </row>
    <row r="15" spans="1:61" ht="15.75" customHeight="1" x14ac:dyDescent="0.25">
      <c r="A15" s="50"/>
      <c r="B15" s="32" t="str">
        <f>IF(B$19="","","(Post)")</f>
        <v>(Post)</v>
      </c>
      <c r="C15" s="33"/>
      <c r="D15" s="32" t="str">
        <f>IF(D$19="","","(Post)")</f>
        <v>(Post)</v>
      </c>
      <c r="E15" s="33"/>
      <c r="F15" s="32" t="str">
        <f>IF(F$19="","","(Post)")</f>
        <v>(Post)</v>
      </c>
      <c r="G15" s="33"/>
      <c r="H15" s="32" t="str">
        <f>IF(H$19="","","(Post)")</f>
        <v>(Post)</v>
      </c>
      <c r="I15" s="33"/>
      <c r="J15" s="32" t="str">
        <f>IF(J$19="","","(Post)")</f>
        <v>(Post)</v>
      </c>
      <c r="K15" s="33"/>
      <c r="L15" s="32" t="str">
        <f>IF(L$19="","","(Post)")</f>
        <v>(Post)</v>
      </c>
      <c r="M15" s="33"/>
      <c r="N15" s="32" t="str">
        <f>IF(N$19="","","(Post)")</f>
        <v/>
      </c>
      <c r="O15" s="33"/>
      <c r="P15" s="32" t="str">
        <f>IF(P$19="","","(Post)")</f>
        <v/>
      </c>
      <c r="Q15" s="33"/>
      <c r="R15" s="32" t="str">
        <f>IF(R$19="","","(Post)")</f>
        <v/>
      </c>
      <c r="S15" s="33"/>
      <c r="T15" s="32" t="str">
        <f>IF(T$19="","","(Post)")</f>
        <v/>
      </c>
      <c r="U15" s="33"/>
      <c r="V15" s="32" t="str">
        <f>IF(V$19="","","(Post)")</f>
        <v/>
      </c>
      <c r="W15" s="33"/>
      <c r="X15" s="32" t="str">
        <f>IF(X$19="","","(Post)")</f>
        <v/>
      </c>
      <c r="Y15" s="33"/>
      <c r="Z15" s="32" t="str">
        <f>IF(Z$19="","","(Post)")</f>
        <v/>
      </c>
      <c r="AA15" s="33"/>
      <c r="AB15" s="32" t="str">
        <f>IF(AB$19="","","(Post)")</f>
        <v/>
      </c>
      <c r="AC15" s="33"/>
      <c r="AD15" s="32" t="str">
        <f>IF(AD$19="","","(Post)")</f>
        <v/>
      </c>
      <c r="AE15" s="33"/>
      <c r="AF15" s="32" t="str">
        <f>IF(AF$19="","","(Post)")</f>
        <v/>
      </c>
      <c r="AG15" s="33"/>
      <c r="AH15" s="32" t="str">
        <f>IF(AH$19="","","(Post)")</f>
        <v/>
      </c>
      <c r="AI15" s="33"/>
      <c r="AJ15" s="32" t="str">
        <f>IF(AJ$19="","","(Post)")</f>
        <v/>
      </c>
      <c r="AK15" s="33"/>
      <c r="AL15" s="32" t="str">
        <f>IF(AL$19="","","(Post)")</f>
        <v/>
      </c>
      <c r="AM15" s="33"/>
      <c r="AN15" s="32" t="str">
        <f>IF(AN$19="","","(Post)")</f>
        <v/>
      </c>
      <c r="AO15" s="33"/>
      <c r="AP15" s="32" t="str">
        <f>IF(AP$19="","","(Post)")</f>
        <v/>
      </c>
      <c r="AQ15" s="33"/>
      <c r="AR15" s="32" t="str">
        <f>IF(AR$19="","","(Post)")</f>
        <v/>
      </c>
      <c r="AS15" s="33"/>
      <c r="AT15" s="32" t="str">
        <f>IF(AT$19="","","(Post)")</f>
        <v/>
      </c>
      <c r="AU15" s="33"/>
      <c r="AV15" s="32" t="str">
        <f>IF(AV$19="","","(Post)")</f>
        <v/>
      </c>
      <c r="AW15" s="33"/>
      <c r="AX15" s="32" t="str">
        <f>IF(AX$19="","","(Post)")</f>
        <v/>
      </c>
      <c r="AY15" s="33"/>
      <c r="AZ15" s="32" t="str">
        <f>IF(AZ$19="","","(Post)")</f>
        <v/>
      </c>
      <c r="BA15" s="33"/>
      <c r="BB15" s="32" t="str">
        <f>IF(BB$19="","","(Post)")</f>
        <v/>
      </c>
      <c r="BC15" s="33"/>
      <c r="BD15" s="32" t="str">
        <f>IF(BD$19="","","(Post)")</f>
        <v/>
      </c>
      <c r="BE15" s="33"/>
      <c r="BF15" s="32" t="str">
        <f>IF(BF$19="","","(Post)")</f>
        <v/>
      </c>
      <c r="BG15" s="33"/>
      <c r="BH15" s="32" t="str">
        <f>IF(BH$19="","","(Post)")</f>
        <v/>
      </c>
      <c r="BI15" s="33"/>
    </row>
    <row r="16" spans="1:61" x14ac:dyDescent="0.25">
      <c r="A16" s="50"/>
      <c r="B16" s="32" t="str">
        <f>IF(B$19="","","(Calc+Post)")</f>
        <v>(Calc+Post)</v>
      </c>
      <c r="C16" s="33"/>
      <c r="D16" s="32" t="str">
        <f>IF(D$19="","","(Calc+Post)")</f>
        <v>(Calc+Post)</v>
      </c>
      <c r="E16" s="33"/>
      <c r="F16" s="32" t="str">
        <f>IF(F$19="","","(Calc+Post)")</f>
        <v>(Calc+Post)</v>
      </c>
      <c r="G16" s="33"/>
      <c r="H16" s="32" t="str">
        <f>IF(H$19="","","(Calc+Post)")</f>
        <v>(Calc+Post)</v>
      </c>
      <c r="I16" s="33"/>
      <c r="J16" s="32" t="str">
        <f>IF(J$19="","","(Calc+Post)")</f>
        <v>(Calc+Post)</v>
      </c>
      <c r="K16" s="33"/>
      <c r="L16" s="32" t="str">
        <f>IF(L$19="","","(Calc+Post)")</f>
        <v>(Calc+Post)</v>
      </c>
      <c r="M16" s="33"/>
      <c r="N16" s="32" t="str">
        <f>IF(N$19="","","(Calc+Post)")</f>
        <v/>
      </c>
      <c r="O16" s="33"/>
      <c r="P16" s="32" t="str">
        <f>IF(P$19="","","(Calc+Post)")</f>
        <v/>
      </c>
      <c r="Q16" s="33"/>
      <c r="R16" s="32" t="str">
        <f>IF(R$19="","","(Calc+Post)")</f>
        <v/>
      </c>
      <c r="S16" s="33"/>
      <c r="T16" s="32" t="str">
        <f>IF(T$19="","","(Calc+Post)")</f>
        <v/>
      </c>
      <c r="U16" s="33"/>
      <c r="V16" s="32" t="str">
        <f>IF(V$19="","","(Calc+Post)")</f>
        <v/>
      </c>
      <c r="W16" s="33"/>
      <c r="X16" s="32" t="str">
        <f>IF(X$19="","","(Calc+Post)")</f>
        <v/>
      </c>
      <c r="Y16" s="33"/>
      <c r="Z16" s="32" t="str">
        <f>IF(Z$19="","","(Calc+Post)")</f>
        <v/>
      </c>
      <c r="AA16" s="33"/>
      <c r="AB16" s="32" t="str">
        <f>IF(AB$19="","","(Calc+Post)")</f>
        <v/>
      </c>
      <c r="AC16" s="33"/>
      <c r="AD16" s="32" t="str">
        <f>IF(AD$19="","","(Calc+Post)")</f>
        <v/>
      </c>
      <c r="AE16" s="33"/>
      <c r="AF16" s="32" t="str">
        <f>IF(AF$19="","","(Calc+Post)")</f>
        <v/>
      </c>
      <c r="AG16" s="33"/>
      <c r="AH16" s="32" t="str">
        <f>IF(AH$19="","","(Calc+Post)")</f>
        <v/>
      </c>
      <c r="AI16" s="33"/>
      <c r="AJ16" s="32" t="str">
        <f>IF(AJ$19="","","(Calc+Post)")</f>
        <v/>
      </c>
      <c r="AK16" s="33"/>
      <c r="AL16" s="32" t="str">
        <f>IF(AL$19="","","(Calc+Post)")</f>
        <v/>
      </c>
      <c r="AM16" s="33"/>
      <c r="AN16" s="32" t="str">
        <f>IF(AN$19="","","(Calc+Post)")</f>
        <v/>
      </c>
      <c r="AO16" s="33"/>
      <c r="AP16" s="32" t="str">
        <f>IF(AP$19="","","(Calc+Post)")</f>
        <v/>
      </c>
      <c r="AQ16" s="33"/>
      <c r="AR16" s="32" t="str">
        <f>IF(AR$19="","","(Calc+Post)")</f>
        <v/>
      </c>
      <c r="AS16" s="33"/>
      <c r="AT16" s="32" t="str">
        <f>IF(AT$19="","","(Calc+Post)")</f>
        <v/>
      </c>
      <c r="AU16" s="33"/>
      <c r="AV16" s="32" t="str">
        <f>IF(AV$19="","","(Calc+Post)")</f>
        <v/>
      </c>
      <c r="AW16" s="33"/>
      <c r="AX16" s="32" t="str">
        <f>IF(AX$19="","","(Calc+Post)")</f>
        <v/>
      </c>
      <c r="AY16" s="33"/>
      <c r="AZ16" s="32" t="str">
        <f>IF(AZ$19="","","(Calc+Post)")</f>
        <v/>
      </c>
      <c r="BA16" s="33"/>
      <c r="BB16" s="32" t="str">
        <f>IF(BB$19="","","(Calc+Post)")</f>
        <v/>
      </c>
      <c r="BC16" s="33"/>
      <c r="BD16" s="32" t="str">
        <f>IF(BD$19="","","(Calc+Post)")</f>
        <v/>
      </c>
      <c r="BE16" s="33"/>
      <c r="BF16" s="32" t="str">
        <f>IF(BF$19="","","(Calc+Post)")</f>
        <v/>
      </c>
      <c r="BG16" s="33"/>
      <c r="BH16" s="32" t="str">
        <f>IF(BH$19="","","(Calc+Post)")</f>
        <v/>
      </c>
      <c r="BI16" s="33"/>
    </row>
    <row r="17" spans="1:61" x14ac:dyDescent="0.25">
      <c r="A17" s="51"/>
      <c r="B17" s="34" t="str">
        <f>IF(B$19="","","(ps2pdf)")</f>
        <v>(ps2pdf)</v>
      </c>
      <c r="C17" s="35"/>
      <c r="D17" s="34" t="str">
        <f>IF(D$19="","","(ps2pdf)")</f>
        <v>(ps2pdf)</v>
      </c>
      <c r="E17" s="35"/>
      <c r="F17" s="34" t="str">
        <f>IF(F$19="","","(ps2pdf)")</f>
        <v>(ps2pdf)</v>
      </c>
      <c r="G17" s="35"/>
      <c r="H17" s="34" t="str">
        <f>IF(H$19="","","(ps2pdf)")</f>
        <v>(ps2pdf)</v>
      </c>
      <c r="I17" s="35"/>
      <c r="J17" s="34" t="str">
        <f>IF(J$19="","","(ps2pdf)")</f>
        <v>(ps2pdf)</v>
      </c>
      <c r="K17" s="35"/>
      <c r="L17" s="34" t="str">
        <f>IF(L$19="","","(ps2pdf)")</f>
        <v>(ps2pdf)</v>
      </c>
      <c r="M17" s="35"/>
      <c r="N17" s="34" t="str">
        <f>IF(N$19="","","(ps2pdf)")</f>
        <v/>
      </c>
      <c r="O17" s="35"/>
      <c r="P17" s="34" t="str">
        <f>IF(P$19="","","(ps2pdf)")</f>
        <v/>
      </c>
      <c r="Q17" s="35"/>
      <c r="R17" s="34" t="str">
        <f>IF(R$19="","","(ps2pdf)")</f>
        <v/>
      </c>
      <c r="S17" s="35"/>
      <c r="T17" s="34" t="str">
        <f>IF(T$19="","","(ps2pdf)")</f>
        <v/>
      </c>
      <c r="U17" s="35"/>
      <c r="V17" s="34" t="str">
        <f>IF(V$19="","","(ps2pdf)")</f>
        <v/>
      </c>
      <c r="W17" s="35"/>
      <c r="X17" s="34" t="str">
        <f>IF(X$19="","","(ps2pdf)")</f>
        <v/>
      </c>
      <c r="Y17" s="35"/>
      <c r="Z17" s="34" t="str">
        <f>IF(Z$19="","","(ps2pdf)")</f>
        <v/>
      </c>
      <c r="AA17" s="35"/>
      <c r="AB17" s="34" t="str">
        <f>IF(AB$19="","","(ps2pdf)")</f>
        <v/>
      </c>
      <c r="AC17" s="35"/>
      <c r="AD17" s="34" t="str">
        <f>IF(AD$19="","","(ps2pdf)")</f>
        <v/>
      </c>
      <c r="AE17" s="35"/>
      <c r="AF17" s="34" t="str">
        <f>IF(AF$19="","","(ps2pdf)")</f>
        <v/>
      </c>
      <c r="AG17" s="35"/>
      <c r="AH17" s="34" t="str">
        <f>IF(AH$19="","","(ps2pdf)")</f>
        <v/>
      </c>
      <c r="AI17" s="35"/>
      <c r="AJ17" s="34" t="str">
        <f>IF(AJ$19="","","(ps2pdf)")</f>
        <v/>
      </c>
      <c r="AK17" s="35"/>
      <c r="AL17" s="34" t="str">
        <f>IF(AL$19="","","(ps2pdf)")</f>
        <v/>
      </c>
      <c r="AM17" s="35"/>
      <c r="AN17" s="34" t="str">
        <f>IF(AN$19="","","(ps2pdf)")</f>
        <v/>
      </c>
      <c r="AO17" s="35"/>
      <c r="AP17" s="34" t="str">
        <f>IF(AP$19="","","(ps2pdf)")</f>
        <v/>
      </c>
      <c r="AQ17" s="35"/>
      <c r="AR17" s="34" t="str">
        <f>IF(AR$19="","","(ps2pdf)")</f>
        <v/>
      </c>
      <c r="AS17" s="35"/>
      <c r="AT17" s="34" t="str">
        <f>IF(AT$19="","","(ps2pdf)")</f>
        <v/>
      </c>
      <c r="AU17" s="35"/>
      <c r="AV17" s="34" t="str">
        <f>IF(AV$19="","","(ps2pdf)")</f>
        <v/>
      </c>
      <c r="AW17" s="35"/>
      <c r="AX17" s="34" t="str">
        <f>IF(AX$19="","","(ps2pdf)")</f>
        <v/>
      </c>
      <c r="AY17" s="35"/>
      <c r="AZ17" s="34" t="str">
        <f>IF(AZ$19="","","(ps2pdf)")</f>
        <v/>
      </c>
      <c r="BA17" s="35"/>
      <c r="BB17" s="34" t="str">
        <f>IF(BB$19="","","(ps2pdf)")</f>
        <v/>
      </c>
      <c r="BC17" s="35"/>
      <c r="BD17" s="34" t="str">
        <f>IF(BD$19="","","(ps2pdf)")</f>
        <v/>
      </c>
      <c r="BE17" s="35"/>
      <c r="BF17" s="34" t="str">
        <f>IF(BF$19="","","(ps2pdf)")</f>
        <v/>
      </c>
      <c r="BG17" s="35"/>
      <c r="BH17" s="34" t="str">
        <f>IF(BH$19="","","(ps2pdf)")</f>
        <v/>
      </c>
      <c r="BI17" s="35"/>
    </row>
    <row r="18" spans="1:61" ht="18.75" x14ac:dyDescent="0.3">
      <c r="A18" s="12" t="s">
        <v>0</v>
      </c>
      <c r="B18" s="36">
        <v>1</v>
      </c>
      <c r="C18" s="37"/>
      <c r="D18" s="36">
        <f>B18+1</f>
        <v>2</v>
      </c>
      <c r="E18" s="37"/>
      <c r="F18" s="36">
        <f>D18+1</f>
        <v>3</v>
      </c>
      <c r="G18" s="37"/>
      <c r="H18" s="36">
        <f>F18+1</f>
        <v>4</v>
      </c>
      <c r="I18" s="37"/>
      <c r="J18" s="36">
        <f>H18+1</f>
        <v>5</v>
      </c>
      <c r="K18" s="37"/>
      <c r="L18" s="36">
        <f>J18+1</f>
        <v>6</v>
      </c>
      <c r="M18" s="37"/>
      <c r="N18" s="36">
        <f>L18+1</f>
        <v>7</v>
      </c>
      <c r="O18" s="37"/>
      <c r="P18" s="36">
        <f>N18+1</f>
        <v>8</v>
      </c>
      <c r="Q18" s="37"/>
      <c r="R18" s="36">
        <f>P18+1</f>
        <v>9</v>
      </c>
      <c r="S18" s="37"/>
      <c r="T18" s="36">
        <f>R18+1</f>
        <v>10</v>
      </c>
      <c r="U18" s="37"/>
      <c r="V18" s="36">
        <f>T18+1</f>
        <v>11</v>
      </c>
      <c r="W18" s="37"/>
      <c r="X18" s="36">
        <f>V18+1</f>
        <v>12</v>
      </c>
      <c r="Y18" s="37"/>
      <c r="Z18" s="36">
        <f>X18+1</f>
        <v>13</v>
      </c>
      <c r="AA18" s="37"/>
      <c r="AB18" s="36">
        <f>Z18+1</f>
        <v>14</v>
      </c>
      <c r="AC18" s="37"/>
      <c r="AD18" s="36">
        <f>AB18+1</f>
        <v>15</v>
      </c>
      <c r="AE18" s="37"/>
      <c r="AF18" s="36">
        <f>AD18+1</f>
        <v>16</v>
      </c>
      <c r="AG18" s="37"/>
      <c r="AH18" s="36">
        <f>AF18+1</f>
        <v>17</v>
      </c>
      <c r="AI18" s="37"/>
      <c r="AJ18" s="36">
        <f>AH18+1</f>
        <v>18</v>
      </c>
      <c r="AK18" s="37"/>
      <c r="AL18" s="36">
        <f>AJ18+1</f>
        <v>19</v>
      </c>
      <c r="AM18" s="37"/>
      <c r="AN18" s="36">
        <f>AL18+1</f>
        <v>20</v>
      </c>
      <c r="AO18" s="37"/>
      <c r="AP18" s="36">
        <f>AN18+1</f>
        <v>21</v>
      </c>
      <c r="AQ18" s="37"/>
      <c r="AR18" s="36">
        <f>AP18+1</f>
        <v>22</v>
      </c>
      <c r="AS18" s="37"/>
      <c r="AT18" s="36">
        <f>AR18+1</f>
        <v>23</v>
      </c>
      <c r="AU18" s="37"/>
      <c r="AV18" s="36">
        <f>AT18+1</f>
        <v>24</v>
      </c>
      <c r="AW18" s="37"/>
      <c r="AX18" s="36">
        <f>AV18+1</f>
        <v>25</v>
      </c>
      <c r="AY18" s="37"/>
      <c r="AZ18" s="36">
        <f>AX18+1</f>
        <v>26</v>
      </c>
      <c r="BA18" s="37"/>
      <c r="BB18" s="36">
        <f>AZ18+1</f>
        <v>27</v>
      </c>
      <c r="BC18" s="37"/>
      <c r="BD18" s="36">
        <f>BB18+1</f>
        <v>28</v>
      </c>
      <c r="BE18" s="37"/>
      <c r="BF18" s="36">
        <f>BD18+1</f>
        <v>29</v>
      </c>
      <c r="BG18" s="37"/>
      <c r="BH18" s="36">
        <f>BF18+1</f>
        <v>30</v>
      </c>
      <c r="BI18" s="37"/>
    </row>
    <row r="19" spans="1:61" ht="18.75" x14ac:dyDescent="0.3">
      <c r="A19" s="13" t="s">
        <v>5</v>
      </c>
      <c r="B19" s="38" t="s">
        <v>3</v>
      </c>
      <c r="C19" s="39"/>
      <c r="D19" s="38" t="s">
        <v>21</v>
      </c>
      <c r="E19" s="39"/>
      <c r="F19" s="38" t="s">
        <v>35</v>
      </c>
      <c r="G19" s="39"/>
      <c r="H19" s="38" t="s">
        <v>40</v>
      </c>
      <c r="I19" s="39"/>
      <c r="J19" s="38" t="s">
        <v>41</v>
      </c>
      <c r="K19" s="39"/>
      <c r="L19" s="38" t="s">
        <v>42</v>
      </c>
      <c r="M19" s="39"/>
      <c r="N19" s="38"/>
      <c r="O19" s="39"/>
      <c r="P19" s="38"/>
      <c r="Q19" s="39"/>
      <c r="R19" s="38"/>
      <c r="S19" s="39"/>
      <c r="T19" s="38"/>
      <c r="U19" s="39"/>
      <c r="V19" s="38"/>
      <c r="W19" s="39"/>
      <c r="X19" s="38"/>
      <c r="Y19" s="39"/>
      <c r="Z19" s="38"/>
      <c r="AA19" s="39"/>
      <c r="AB19" s="38"/>
      <c r="AC19" s="39"/>
      <c r="AD19" s="38"/>
      <c r="AE19" s="39"/>
      <c r="AF19" s="38"/>
      <c r="AG19" s="39"/>
      <c r="AH19" s="38"/>
      <c r="AI19" s="39"/>
      <c r="AJ19" s="38"/>
      <c r="AK19" s="39"/>
      <c r="AL19" s="38"/>
      <c r="AM19" s="39"/>
      <c r="AN19" s="38"/>
      <c r="AO19" s="39"/>
      <c r="AP19" s="38"/>
      <c r="AQ19" s="39"/>
      <c r="AR19" s="38"/>
      <c r="AS19" s="39"/>
      <c r="AT19" s="38"/>
      <c r="AU19" s="39"/>
      <c r="AV19" s="38"/>
      <c r="AW19" s="39"/>
      <c r="AX19" s="38"/>
      <c r="AY19" s="39"/>
      <c r="AZ19" s="38"/>
      <c r="BA19" s="39"/>
      <c r="BB19" s="38"/>
      <c r="BC19" s="39"/>
      <c r="BD19" s="38"/>
      <c r="BE19" s="39"/>
      <c r="BF19" s="38"/>
      <c r="BG19" s="39"/>
      <c r="BH19" s="38"/>
      <c r="BI19" s="39"/>
    </row>
    <row r="20" spans="1:61" ht="18.75" x14ac:dyDescent="0.3">
      <c r="A20" s="13" t="s">
        <v>6</v>
      </c>
      <c r="B20" s="40" t="s">
        <v>43</v>
      </c>
      <c r="C20" s="41"/>
      <c r="D20" s="40" t="s">
        <v>45</v>
      </c>
      <c r="E20" s="41"/>
      <c r="F20" s="40" t="s">
        <v>46</v>
      </c>
      <c r="G20" s="41"/>
      <c r="H20" s="40" t="s">
        <v>44</v>
      </c>
      <c r="I20" s="41"/>
      <c r="J20" s="40" t="s">
        <v>47</v>
      </c>
      <c r="K20" s="41"/>
      <c r="L20" s="40" t="s">
        <v>48</v>
      </c>
      <c r="M20" s="41"/>
      <c r="N20" s="40"/>
      <c r="O20" s="41"/>
      <c r="P20" s="40"/>
      <c r="Q20" s="41"/>
      <c r="R20" s="40"/>
      <c r="S20" s="41"/>
      <c r="T20" s="40"/>
      <c r="U20" s="41"/>
      <c r="V20" s="40"/>
      <c r="W20" s="41"/>
      <c r="X20" s="40"/>
      <c r="Y20" s="41"/>
      <c r="Z20" s="40"/>
      <c r="AA20" s="41"/>
      <c r="AB20" s="40"/>
      <c r="AC20" s="41"/>
      <c r="AD20" s="40"/>
      <c r="AE20" s="41"/>
      <c r="AF20" s="40"/>
      <c r="AG20" s="41"/>
      <c r="AH20" s="40"/>
      <c r="AI20" s="41"/>
      <c r="AJ20" s="40"/>
      <c r="AK20" s="41"/>
      <c r="AL20" s="40"/>
      <c r="AM20" s="41"/>
      <c r="AN20" s="40"/>
      <c r="AO20" s="41"/>
      <c r="AP20" s="40"/>
      <c r="AQ20" s="41"/>
      <c r="AR20" s="40"/>
      <c r="AS20" s="41"/>
      <c r="AT20" s="40"/>
      <c r="AU20" s="41"/>
      <c r="AV20" s="40"/>
      <c r="AW20" s="41"/>
      <c r="AX20" s="40"/>
      <c r="AY20" s="41"/>
      <c r="AZ20" s="40"/>
      <c r="BA20" s="41"/>
      <c r="BB20" s="40"/>
      <c r="BC20" s="41"/>
      <c r="BD20" s="40"/>
      <c r="BE20" s="41"/>
      <c r="BF20" s="40"/>
      <c r="BG20" s="41"/>
      <c r="BH20" s="40"/>
      <c r="BI20" s="41"/>
    </row>
    <row r="21" spans="1:61" ht="18.75" x14ac:dyDescent="0.3">
      <c r="A21" s="13" t="s">
        <v>1</v>
      </c>
      <c r="B21" s="26">
        <v>0</v>
      </c>
      <c r="C21" s="27"/>
      <c r="D21" s="26">
        <v>500</v>
      </c>
      <c r="E21" s="27"/>
      <c r="F21" s="26">
        <v>500</v>
      </c>
      <c r="G21" s="27"/>
      <c r="H21" s="26">
        <v>500</v>
      </c>
      <c r="I21" s="27"/>
      <c r="J21" s="26">
        <v>500</v>
      </c>
      <c r="K21" s="27"/>
      <c r="L21" s="26">
        <v>500</v>
      </c>
      <c r="M21" s="27"/>
      <c r="N21" s="26"/>
      <c r="O21" s="27"/>
      <c r="P21" s="26"/>
      <c r="Q21" s="27"/>
      <c r="R21" s="26"/>
      <c r="S21" s="27"/>
      <c r="T21" s="26"/>
      <c r="U21" s="27"/>
      <c r="V21" s="26"/>
      <c r="W21" s="27"/>
      <c r="X21" s="26"/>
      <c r="Y21" s="27"/>
      <c r="Z21" s="26"/>
      <c r="AA21" s="27"/>
      <c r="AB21" s="26"/>
      <c r="AC21" s="27"/>
      <c r="AD21" s="26"/>
      <c r="AE21" s="27"/>
      <c r="AF21" s="26"/>
      <c r="AG21" s="27"/>
      <c r="AH21" s="26"/>
      <c r="AI21" s="27"/>
      <c r="AJ21" s="26"/>
      <c r="AK21" s="27"/>
      <c r="AL21" s="26"/>
      <c r="AM21" s="27"/>
      <c r="AN21" s="26"/>
      <c r="AO21" s="27"/>
      <c r="AP21" s="26"/>
      <c r="AQ21" s="27"/>
      <c r="AR21" s="26"/>
      <c r="AS21" s="27"/>
      <c r="AT21" s="26"/>
      <c r="AU21" s="27"/>
      <c r="AV21" s="26"/>
      <c r="AW21" s="27"/>
      <c r="AX21" s="26"/>
      <c r="AY21" s="27"/>
      <c r="AZ21" s="26"/>
      <c r="BA21" s="27"/>
      <c r="BB21" s="26"/>
      <c r="BC21" s="27"/>
      <c r="BD21" s="26"/>
      <c r="BE21" s="27"/>
      <c r="BF21" s="26"/>
      <c r="BG21" s="27"/>
      <c r="BH21" s="26"/>
      <c r="BI21" s="27"/>
    </row>
    <row r="22" spans="1:61" ht="18.75" x14ac:dyDescent="0.3">
      <c r="A22" s="13" t="s">
        <v>2</v>
      </c>
      <c r="B22" s="28">
        <v>600</v>
      </c>
      <c r="C22" s="29"/>
      <c r="D22" s="28">
        <v>600</v>
      </c>
      <c r="E22" s="29"/>
      <c r="F22" s="28">
        <v>600</v>
      </c>
      <c r="G22" s="29"/>
      <c r="H22" s="28">
        <v>600</v>
      </c>
      <c r="I22" s="29"/>
      <c r="J22" s="28">
        <v>600</v>
      </c>
      <c r="K22" s="29"/>
      <c r="L22" s="28">
        <v>600</v>
      </c>
      <c r="M22" s="29"/>
      <c r="N22" s="28"/>
      <c r="O22" s="29"/>
      <c r="P22" s="28"/>
      <c r="Q22" s="29"/>
      <c r="R22" s="28"/>
      <c r="S22" s="29"/>
      <c r="T22" s="28"/>
      <c r="U22" s="29"/>
      <c r="V22" s="28"/>
      <c r="W22" s="29"/>
      <c r="X22" s="28"/>
      <c r="Y22" s="29"/>
      <c r="Z22" s="28"/>
      <c r="AA22" s="29"/>
      <c r="AB22" s="28"/>
      <c r="AC22" s="29"/>
      <c r="AD22" s="28"/>
      <c r="AE22" s="29"/>
      <c r="AF22" s="28"/>
      <c r="AG22" s="29"/>
      <c r="AH22" s="28"/>
      <c r="AI22" s="29"/>
      <c r="AJ22" s="28"/>
      <c r="AK22" s="29"/>
      <c r="AL22" s="28"/>
      <c r="AM22" s="29"/>
      <c r="AN22" s="28"/>
      <c r="AO22" s="29"/>
      <c r="AP22" s="28"/>
      <c r="AQ22" s="29"/>
      <c r="AR22" s="28"/>
      <c r="AS22" s="29"/>
      <c r="AT22" s="28"/>
      <c r="AU22" s="29"/>
      <c r="AV22" s="28"/>
      <c r="AW22" s="29"/>
      <c r="AX22" s="28"/>
      <c r="AY22" s="29"/>
      <c r="AZ22" s="28"/>
      <c r="BA22" s="29"/>
      <c r="BB22" s="28"/>
      <c r="BC22" s="29"/>
      <c r="BD22" s="28"/>
      <c r="BE22" s="29"/>
      <c r="BF22" s="28"/>
      <c r="BG22" s="29"/>
      <c r="BH22" s="28"/>
      <c r="BI22" s="29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24</v>
      </c>
      <c r="D23" s="6" t="str">
        <f>HYPERLINK(changeFileExtension(D$24,"_log.txt"))</f>
        <v>Case2\Case2_log.txt</v>
      </c>
      <c r="E23" s="10" t="s">
        <v>24</v>
      </c>
      <c r="F23" s="6" t="str">
        <f>HYPERLINK(changeFileExtension(F$24,"_log.txt"))</f>
        <v>Case3\Case3_log.txt</v>
      </c>
      <c r="G23" s="10" t="s">
        <v>24</v>
      </c>
      <c r="H23" s="6" t="str">
        <f>HYPERLINK(changeFileExtension(H$24,"_log.txt"))</f>
        <v>Case4\Case4_log.txt</v>
      </c>
      <c r="I23" s="10" t="s">
        <v>24</v>
      </c>
      <c r="J23" s="6" t="str">
        <f>HYPERLINK(changeFileExtension(J$24,"_log.txt"))</f>
        <v>Case5\Case5_log.txt</v>
      </c>
      <c r="K23" s="10" t="s">
        <v>24</v>
      </c>
      <c r="L23" s="6" t="str">
        <f>HYPERLINK(changeFileExtension(L$24,"_log.txt"))</f>
        <v>Case6\Case6_log.txt</v>
      </c>
      <c r="M23" s="10" t="s">
        <v>24</v>
      </c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43706.626250000001</v>
      </c>
      <c r="D24" s="6" t="str">
        <f>IF(D19="","",HYPERLINK(IF(ISERROR(FIND("\",D19)),CONCATENATE(D19,"\",D19,".i"),CONCATENATE(D19,".i"))))</f>
        <v>Case2\Case2.i</v>
      </c>
      <c r="E24" s="11">
        <v>43706.576458333337</v>
      </c>
      <c r="F24" s="6" t="str">
        <f>IF(F19="","",HYPERLINK(IF(ISERROR(FIND("\",F19)),CONCATENATE(F19,"\",F19,".i"),CONCATENATE(F19,".i"))))</f>
        <v>Case3\Case3.i</v>
      </c>
      <c r="G24" s="11">
        <v>43643.633194444446</v>
      </c>
      <c r="H24" s="6" t="str">
        <f>IF(H19="","",HYPERLINK(IF(ISERROR(FIND("\",H19)),CONCATENATE(H19,"\",H19,".i"),CONCATENATE(H19,".i"))))</f>
        <v>Case4\Case4.i</v>
      </c>
      <c r="I24" s="11">
        <v>43643.633252314816</v>
      </c>
      <c r="J24" s="6" t="str">
        <f>IF(J19="","",HYPERLINK(IF(ISERROR(FIND("\",J19)),CONCATENATE(J19,"\",J19,".i"),CONCATENATE(J19,".i"))))</f>
        <v>Case5\Case5.i</v>
      </c>
      <c r="K24" s="11">
        <v>43643.633344907408</v>
      </c>
      <c r="L24" s="6" t="str">
        <f>IF(L19="","",HYPERLINK(IF(ISERROR(FIND("\",L19)),CONCATENATE(L19,"\",L19,".i"),CONCATENATE(L19,".i"))))</f>
        <v>Case6\Case6.i</v>
      </c>
      <c r="M24" s="11">
        <v>43643.633402777778</v>
      </c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43706.460405092592</v>
      </c>
      <c r="D25" s="6" t="str">
        <f>HYPERLINK(changeFileExtension(D$24,".o"))</f>
        <v>Case2\Case2.o</v>
      </c>
      <c r="E25" s="11">
        <v>43643.676249999997</v>
      </c>
      <c r="F25" s="6" t="str">
        <f>HYPERLINK(changeFileExtension(F$24,".o"))</f>
        <v>Case3\Case3.o</v>
      </c>
      <c r="G25" s="11">
        <v>43647.419004629628</v>
      </c>
      <c r="H25" s="6" t="str">
        <f>HYPERLINK(changeFileExtension(H$24,".o"))</f>
        <v>Case4\Case4.o</v>
      </c>
      <c r="I25" s="11">
        <v>43643.68041666667</v>
      </c>
      <c r="J25" s="6" t="str">
        <f>HYPERLINK(changeFileExtension(J$24,".o"))</f>
        <v>Case5\Case5.o</v>
      </c>
      <c r="K25" s="11">
        <v>43643.68141203704</v>
      </c>
      <c r="L25" s="6" t="str">
        <f>HYPERLINK(changeFileExtension(L$24,".o"))</f>
        <v>Case6\Case6.o</v>
      </c>
      <c r="M25" s="11">
        <v>43643.681574074071</v>
      </c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43706.460405092592</v>
      </c>
      <c r="D26" s="6" t="str">
        <f>HYPERLINK(changeFileExtension(D$24,".rst"))</f>
        <v>Case2\Case2.rst</v>
      </c>
      <c r="E26" s="11">
        <v>43643.676249999997</v>
      </c>
      <c r="F26" s="6" t="str">
        <f>HYPERLINK(changeFileExtension(F$24,".rst"))</f>
        <v>Case3\Case3.rst</v>
      </c>
      <c r="G26" s="11">
        <v>43647.419004629628</v>
      </c>
      <c r="H26" s="6" t="str">
        <f>HYPERLINK(changeFileExtension(H$24,".rst"))</f>
        <v>Case4\Case4.rst</v>
      </c>
      <c r="I26" s="11">
        <v>43643.68041666667</v>
      </c>
      <c r="J26" s="6" t="str">
        <f>HYPERLINK(changeFileExtension(J$24,".rst"))</f>
        <v>Case5\Case5.rst</v>
      </c>
      <c r="K26" s="11">
        <v>43643.68141203704</v>
      </c>
      <c r="L26" s="6" t="str">
        <f>HYPERLINK(changeFileExtension(L$24,".rst"))</f>
        <v>Case6\Case6.rst</v>
      </c>
      <c r="M26" s="11">
        <v>43643.681574074071</v>
      </c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43706.615937499999</v>
      </c>
      <c r="D27" s="6" t="str">
        <f>HYPERLINK(changeFileExtension(D$24,".dmx"))</f>
        <v>Case2\Case2.dmx</v>
      </c>
      <c r="E27" s="11">
        <v>43706.602233796293</v>
      </c>
      <c r="F27" s="6" t="str">
        <f>HYPERLINK(changeFileExtension(F$24,".dmx"))</f>
        <v>Case3\Case3.dmx</v>
      </c>
      <c r="G27" s="11">
        <v>43647.645590277774</v>
      </c>
      <c r="H27" s="6" t="str">
        <f>HYPERLINK(changeFileExtension(H$24,".dmx"))</f>
        <v>Case4\Case4.dmx</v>
      </c>
      <c r="I27" s="11">
        <v>43647.646331018521</v>
      </c>
      <c r="J27" s="6" t="str">
        <f>HYPERLINK(changeFileExtension(J$24,".dmx"))</f>
        <v>Case5\Case5.dmx</v>
      </c>
      <c r="K27" s="11">
        <v>43647.646516203706</v>
      </c>
      <c r="L27" s="6" t="str">
        <f>HYPERLINK(changeFileExtension(L$24,".dmx"))</f>
        <v>Case6\Case6.dmx</v>
      </c>
      <c r="M27" s="11">
        <v>43647.660138888888</v>
      </c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18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43706.61582175926</v>
      </c>
      <c r="D30" s="6" t="str">
        <f>HYPERLINK(changeFileExtension(D$24,".str"))</f>
        <v>Case2\Case2.str</v>
      </c>
      <c r="E30" s="11">
        <v>43706.602083333331</v>
      </c>
      <c r="F30" s="6" t="str">
        <f>HYPERLINK(changeFileExtension(F$24,".str"))</f>
        <v>Case3\Case3.str</v>
      </c>
      <c r="G30" s="11">
        <v>43647.645439814813</v>
      </c>
      <c r="H30" s="6" t="str">
        <f>HYPERLINK(changeFileExtension(H$24,".str"))</f>
        <v>Case4\Case4.str</v>
      </c>
      <c r="I30" s="11">
        <v>43647.646249999998</v>
      </c>
      <c r="J30" s="6" t="str">
        <f>HYPERLINK(changeFileExtension(J$24,".str"))</f>
        <v>Case5\Case5.str</v>
      </c>
      <c r="K30" s="11">
        <v>43647.646423611113</v>
      </c>
      <c r="L30" s="6" t="str">
        <f>HYPERLINK(changeFileExtension(L$24,".str"))</f>
        <v>Case6\Case6.str</v>
      </c>
      <c r="M30" s="11">
        <v>43647.660046296296</v>
      </c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43706.617291666669</v>
      </c>
      <c r="D31" s="6" t="str">
        <f>HYPERLINK(changeFileExtension(D$24,".ps"))</f>
        <v>Case2\Case2.ps</v>
      </c>
      <c r="E31" s="11">
        <v>43706.603750000002</v>
      </c>
      <c r="F31" s="6" t="str">
        <f>HYPERLINK(changeFileExtension(F$24,".ps"))</f>
        <v>Case3\Case3.ps</v>
      </c>
      <c r="G31" s="11">
        <v>43647.646851851852</v>
      </c>
      <c r="H31" s="6" t="str">
        <f>HYPERLINK(changeFileExtension(H$24,".ps"))</f>
        <v>Case4\Case4.ps</v>
      </c>
      <c r="I31" s="11">
        <v>43647.647453703707</v>
      </c>
      <c r="J31" s="6" t="str">
        <f>HYPERLINK(changeFileExtension(J$24,".ps"))</f>
        <v>Case5\Case5.ps</v>
      </c>
      <c r="K31" s="11">
        <v>43647.647592592592</v>
      </c>
      <c r="L31" s="6" t="str">
        <f>HYPERLINK(changeFileExtension(L$24,".ps"))</f>
        <v>Case6\Case6.ps</v>
      </c>
      <c r="M31" s="11">
        <v>43647.661249999997</v>
      </c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43706.617523148147</v>
      </c>
      <c r="D32" s="7" t="str">
        <f>HYPERLINK(changeFileExtension(D$24,".pdf"))</f>
        <v>Case2\Case2.pdf</v>
      </c>
      <c r="E32" s="15" t="s">
        <v>24</v>
      </c>
      <c r="F32" s="7" t="str">
        <f>HYPERLINK(changeFileExtension(F$24,".pdf"))</f>
        <v>Case3\Case3.pdf</v>
      </c>
      <c r="G32" s="15">
        <v>43647.660196759258</v>
      </c>
      <c r="H32" s="7" t="str">
        <f>HYPERLINK(changeFileExtension(H$24,".pdf"))</f>
        <v>Case4\Case4.pdf</v>
      </c>
      <c r="I32" s="15">
        <v>43647.661041666666</v>
      </c>
      <c r="J32" s="7" t="str">
        <f>HYPERLINK(changeFileExtension(J$24,".pdf"))</f>
        <v>Case5\Case5.pdf</v>
      </c>
      <c r="K32" s="15">
        <v>43647.661249999997</v>
      </c>
      <c r="L32" s="7" t="str">
        <f>HYPERLINK(changeFileExtension(L$24,".pdf"))</f>
        <v>Case6\Case6.pdf</v>
      </c>
      <c r="M32" s="15">
        <v>43647.661446759259</v>
      </c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1">
    <dataValidation type="list" allowBlank="1" showInputMessage="1" showErrorMessage="1" sqref="G3:J3" xr:uid="{00000000-0002-0000-0000-000000000000}">
      <formula1>"H:\RELAP5\bin\relap5\relap5mod3.3patch03\relap5.exe,C:\RELAP5\bin\relap5mod3.3patch03\relap5.exe"</formula1>
    </dataValidation>
  </dataValidations>
  <hyperlinks>
    <hyperlink ref="B12" location="Blad1!$D$7" display="Blad1!$D$7" xr:uid="{00000000-0004-0000-0000-000000000000}"/>
    <hyperlink ref="B16" location="Blad1!$D$8" display="Blad1!$D$8" xr:uid="{00000000-0004-0000-0000-000001000000}"/>
    <hyperlink ref="B17" location="Blad1!$D$9" display="Blad1!$D$9" xr:uid="{00000000-0004-0000-0000-000002000000}"/>
    <hyperlink ref="B13" location="Blad1!$D$8" display="Blad1!$D$8" xr:uid="{193B0EA5-C5ED-47E8-9938-B0F50F08A343}"/>
    <hyperlink ref="B14" location="Blad1!$D$8" display="Blad1!$D$8" xr:uid="{844F5EE3-6F6F-4B54-A238-83FBA72811C8}"/>
    <hyperlink ref="B15" location="Blad1!$D$8" display="Blad1!$D$8" xr:uid="{4293DC0A-DA98-47DD-AAE6-B4F75B78C82E}"/>
    <hyperlink ref="B12:C12" location="'R5Post main'!B12" display="'R5Post main'!B12" xr:uid="{954A8610-0E7C-4821-8D7B-77D5624283D1}"/>
    <hyperlink ref="B17:C17" location="'R5Post main'!B17" display="'R5Post main'!B17" xr:uid="{710A1D0A-EB51-4DBF-AA1E-32B4CC4AFF22}"/>
    <hyperlink ref="B16:C16" location="'R5Post main'!B16" display="'R5Post main'!B16" xr:uid="{46E0B6D0-912B-403E-AEF5-31D3BA4ED5E5}"/>
    <hyperlink ref="B15:C15" location="'R5Post main'!B15" display="'R5Post main'!B15" xr:uid="{5BD2A861-6A85-42E9-B5E7-F9A0FBDF062C}"/>
    <hyperlink ref="B14:C14" location="'R5Post main'!B14" display="'R5Post main'!B14" xr:uid="{80F00118-35C4-4C8A-B5F5-44589BEC976D}"/>
    <hyperlink ref="B13:C13" location="'R5Post main'!B13" display="'R5Post main'!B13" xr:uid="{DC5C318A-3045-4893-A593-486C5D886293}"/>
    <hyperlink ref="D12" location="Blad1!$D$7" display="Blad1!$D$7" xr:uid="{37574EF6-4D3F-428B-8D9B-83FC29946EDE}"/>
    <hyperlink ref="D16" location="Blad1!$D$8" display="Blad1!$D$8" xr:uid="{40C85197-37D4-4ABF-9F8A-BDE7E6F68F09}"/>
    <hyperlink ref="D17" location="Blad1!$D$9" display="Blad1!$D$9" xr:uid="{5CC9F010-305C-49E5-88C2-65576321E7C9}"/>
    <hyperlink ref="D13" location="Blad1!$D$8" display="Blad1!$D$8" xr:uid="{78B9494E-E2F8-4501-814C-28343A9DD2CD}"/>
    <hyperlink ref="D14" location="Blad1!$D$8" display="Blad1!$D$8" xr:uid="{CE73CA72-F658-4DCA-8785-A87105B56F92}"/>
    <hyperlink ref="D15" location="Blad1!$D$8" display="Blad1!$D$8" xr:uid="{2FA29011-F97F-4195-BD07-ED5BDC7B4740}"/>
    <hyperlink ref="D12:E12" location="'R5Post main'!B12" display="'R5Post main'!B12" xr:uid="{60217000-975E-4E02-8EA5-C243366781A2}"/>
    <hyperlink ref="D17:E17" location="'R5Post main'!B17" display="'R5Post main'!B17" xr:uid="{38DD3A8D-F8B4-4F58-9E1C-36196E1EE8A2}"/>
    <hyperlink ref="D16:E16" location="'R5Post main'!B16" display="'R5Post main'!B16" xr:uid="{F0EA0A9E-3425-4F3E-A422-11DDB33B9F80}"/>
    <hyperlink ref="D15:E15" location="'R5Post main'!B15" display="'R5Post main'!B15" xr:uid="{007EE939-4EAC-4B72-9668-0E8420C79818}"/>
    <hyperlink ref="D14:E14" location="'R5Post main'!B14" display="'R5Post main'!B14" xr:uid="{B9924410-E2C3-45D3-8A97-B9CA39CE87CE}"/>
    <hyperlink ref="D13:E13" location="'R5Post main'!B13" display="'R5Post main'!B13" xr:uid="{9943C788-C51A-4492-A495-CA874D4C7F08}"/>
    <hyperlink ref="F12" location="Blad1!$D$7" display="Blad1!$D$7" xr:uid="{D188233F-42D9-404F-A821-063AAE3743D7}"/>
    <hyperlink ref="F16" location="Blad1!$D$8" display="Blad1!$D$8" xr:uid="{A86D27F9-ED57-4779-9899-56301D698265}"/>
    <hyperlink ref="F17" location="Blad1!$D$9" display="Blad1!$D$9" xr:uid="{BDCA270A-079F-4846-8CED-34B0DBFDE26E}"/>
    <hyperlink ref="F13" location="Blad1!$D$8" display="Blad1!$D$8" xr:uid="{EB9D14E3-41FA-4D35-AC27-8D453AC48A17}"/>
    <hyperlink ref="F14" location="Blad1!$D$8" display="Blad1!$D$8" xr:uid="{28515D13-0D6B-4F26-9B98-4A8B3BB2CD97}"/>
    <hyperlink ref="F15" location="Blad1!$D$8" display="Blad1!$D$8" xr:uid="{4AFBD61D-02F5-4575-8590-A75398251F95}"/>
    <hyperlink ref="F12:G12" location="'R5Post main'!B12" display="'R5Post main'!B12" xr:uid="{CD5207EE-8188-4D49-ACE2-656027578411}"/>
    <hyperlink ref="F17:G17" location="'R5Post main'!B17" display="'R5Post main'!B17" xr:uid="{EFA98170-EF4A-455D-85D6-271F0BD85C3B}"/>
    <hyperlink ref="F16:G16" location="'R5Post main'!B16" display="'R5Post main'!B16" xr:uid="{21312A9C-1B1E-4C8B-B02F-3C83E6B7E7A3}"/>
    <hyperlink ref="F15:G15" location="'R5Post main'!B15" display="'R5Post main'!B15" xr:uid="{390C7A1A-0077-4776-86E7-954FC0D34017}"/>
    <hyperlink ref="F14:G14" location="'R5Post main'!B14" display="'R5Post main'!B14" xr:uid="{28385DE9-32CC-4AD8-8416-90FA09D7A9B1}"/>
    <hyperlink ref="F13:G13" location="'R5Post main'!B13" display="'R5Post main'!B13" xr:uid="{4C8BD60C-A864-4DDB-92EC-15A269171FBE}"/>
    <hyperlink ref="H12" location="Blad1!$D$7" display="Blad1!$D$7" xr:uid="{63A4B5BF-897A-49B8-9A63-5B70013A16EB}"/>
    <hyperlink ref="H16" location="Blad1!$D$8" display="Blad1!$D$8" xr:uid="{0B259E63-25E4-43BD-BE8A-8466F4752AB5}"/>
    <hyperlink ref="H17" location="Blad1!$D$9" display="Blad1!$D$9" xr:uid="{311A8D4B-2E7F-4051-85BE-20127A141EA8}"/>
    <hyperlink ref="H13" location="Blad1!$D$8" display="Blad1!$D$8" xr:uid="{C140B4CF-7C70-4AD1-A613-8F3B04291345}"/>
    <hyperlink ref="H14" location="Blad1!$D$8" display="Blad1!$D$8" xr:uid="{E1EFB210-208A-400A-BB9C-50D9C6C35AB1}"/>
    <hyperlink ref="H15" location="Blad1!$D$8" display="Blad1!$D$8" xr:uid="{EC29C5AC-A95F-4C4F-9D24-F556E52BC6DD}"/>
    <hyperlink ref="H12:I12" location="'R5Post main'!B12" display="'R5Post main'!B12" xr:uid="{00200EDF-AB48-4CB6-80F2-D1DB4A9A0A5C}"/>
    <hyperlink ref="H17:I17" location="'R5Post main'!B17" display="'R5Post main'!B17" xr:uid="{96AD71E4-BD09-4529-AA28-93D219A5412F}"/>
    <hyperlink ref="H16:I16" location="'R5Post main'!B16" display="'R5Post main'!B16" xr:uid="{9A22097A-61D7-44B1-96C3-3D3996D39A5D}"/>
    <hyperlink ref="H15:I15" location="'R5Post main'!B15" display="'R5Post main'!B15" xr:uid="{2BA041EA-0243-4C6C-A342-5573FF0B8BFB}"/>
    <hyperlink ref="H14:I14" location="'R5Post main'!B14" display="'R5Post main'!B14" xr:uid="{34248E37-FA07-4B52-B0AE-B754AB5C764A}"/>
    <hyperlink ref="H13:I13" location="'R5Post main'!B13" display="'R5Post main'!B13" xr:uid="{AC1BF894-370A-46DB-ABE4-C04FCEE27044}"/>
    <hyperlink ref="J12" location="Blad1!$D$7" display="Blad1!$D$7" xr:uid="{C05C52CB-0A6F-413D-A16A-3D4EFD3C0BD2}"/>
    <hyperlink ref="J16" location="Blad1!$D$8" display="Blad1!$D$8" xr:uid="{B47EBB69-8445-427D-B5FB-41416150F153}"/>
    <hyperlink ref="J17" location="Blad1!$D$9" display="Blad1!$D$9" xr:uid="{6A5A8480-C3FF-406D-8D79-CE941B4F22D7}"/>
    <hyperlink ref="J13" location="Blad1!$D$8" display="Blad1!$D$8" xr:uid="{36BF6F32-83CA-466A-B151-36D9ACC41C63}"/>
    <hyperlink ref="J14" location="Blad1!$D$8" display="Blad1!$D$8" xr:uid="{E2F41521-4184-429D-8797-251FF7ABD36E}"/>
    <hyperlink ref="J15" location="Blad1!$D$8" display="Blad1!$D$8" xr:uid="{6F58E202-0C20-49D5-BDC7-F2EF89FDD335}"/>
    <hyperlink ref="J12:K12" location="'R5Post main'!B12" display="'R5Post main'!B12" xr:uid="{E9C65CC5-4E8C-466E-A671-E00F6FA1DD72}"/>
    <hyperlink ref="J17:K17" location="'R5Post main'!B17" display="'R5Post main'!B17" xr:uid="{DAB0D10C-9390-488A-B2B2-33CE18F2A9B6}"/>
    <hyperlink ref="J16:K16" location="'R5Post main'!B16" display="'R5Post main'!B16" xr:uid="{837A5848-7E8D-4A36-8F31-14D39EE41727}"/>
    <hyperlink ref="J15:K15" location="'R5Post main'!B15" display="'R5Post main'!B15" xr:uid="{00893D44-864E-4973-904D-6425059FD0A3}"/>
    <hyperlink ref="J14:K14" location="'R5Post main'!B14" display="'R5Post main'!B14" xr:uid="{1C43C9FF-B954-4E58-A605-21D178CB010B}"/>
    <hyperlink ref="J13:K13" location="'R5Post main'!B13" display="'R5Post main'!B13" xr:uid="{7C789E0D-58DC-4B87-83A7-0D11D73E4452}"/>
    <hyperlink ref="L12" location="Blad1!$D$7" display="Blad1!$D$7" xr:uid="{E970ED17-151B-41C7-9BEF-BC67214237A6}"/>
    <hyperlink ref="L16" location="Blad1!$D$8" display="Blad1!$D$8" xr:uid="{7CBC478C-1B3F-4CF1-9FBD-5678FCBAD49C}"/>
    <hyperlink ref="L17" location="Blad1!$D$9" display="Blad1!$D$9" xr:uid="{28ED1835-49A3-4A88-84AF-1664DD456F9E}"/>
    <hyperlink ref="L13" location="Blad1!$D$8" display="Blad1!$D$8" xr:uid="{82BB1C14-4FF1-4639-9D4C-4015CF9ACB2E}"/>
    <hyperlink ref="L14" location="Blad1!$D$8" display="Blad1!$D$8" xr:uid="{368B8F87-BA66-4C8E-8DBB-B4CBBE9EA8FD}"/>
    <hyperlink ref="L15" location="Blad1!$D$8" display="Blad1!$D$8" xr:uid="{FC072B47-2BB0-4D51-B2EB-07BD4D03D09C}"/>
    <hyperlink ref="L12:M12" location="'R5Post main'!B12" display="'R5Post main'!B12" xr:uid="{C448ED58-99F9-47DA-BDC3-EB288074B9CF}"/>
    <hyperlink ref="L17:M17" location="'R5Post main'!B17" display="'R5Post main'!B17" xr:uid="{E7CE8BAF-1ADD-47CB-9166-1FE45D11252B}"/>
    <hyperlink ref="L16:M16" location="'R5Post main'!B16" display="'R5Post main'!B16" xr:uid="{C64E2208-8DE4-4FC4-BBE0-771272B9B37C}"/>
    <hyperlink ref="L15:M15" location="'R5Post main'!B15" display="'R5Post main'!B15" xr:uid="{AE46CA83-4D60-47F7-BE19-F31DE0A4248A}"/>
    <hyperlink ref="L14:M14" location="'R5Post main'!B14" display="'R5Post main'!B14" xr:uid="{B7EA7808-450A-42A9-A9E8-CB3988487FEE}"/>
    <hyperlink ref="L13:M13" location="'R5Post main'!B13" display="'R5Post main'!B13" xr:uid="{52E549EA-15C6-4414-B65F-7F5F4593EC5A}"/>
    <hyperlink ref="N12" location="Blad1!$D$7" display="Blad1!$D$7" xr:uid="{420CA0E0-8864-4732-8592-0D49DBE3C720}"/>
    <hyperlink ref="N16" location="Blad1!$D$8" display="Blad1!$D$8" xr:uid="{3F897CFC-5522-4FA0-BB8C-B81A70887551}"/>
    <hyperlink ref="N17" location="Blad1!$D$9" display="Blad1!$D$9" xr:uid="{1430C1C8-8ABE-4571-BE5D-B3D70CD84DC3}"/>
    <hyperlink ref="N13" location="Blad1!$D$8" display="Blad1!$D$8" xr:uid="{D56DB32D-8376-4907-A597-220A0C1E38E7}"/>
    <hyperlink ref="N14" location="Blad1!$D$8" display="Blad1!$D$8" xr:uid="{91812829-2A48-46EE-B3A8-98EA47340494}"/>
    <hyperlink ref="N15" location="Blad1!$D$8" display="Blad1!$D$8" xr:uid="{E25DE20B-274A-40D6-8FCC-019BD0239579}"/>
    <hyperlink ref="N12:O12" location="'R5Post main'!B12" display="'R5Post main'!B12" xr:uid="{9ED223D8-3CC5-46EE-B0C1-A2120D0BA463}"/>
    <hyperlink ref="N17:O17" location="'R5Post main'!B17" display="'R5Post main'!B17" xr:uid="{BCAE1429-C377-4618-AD82-9DCD86D33829}"/>
    <hyperlink ref="N16:O16" location="'R5Post main'!B16" display="'R5Post main'!B16" xr:uid="{4B2120FF-816D-4B81-AA67-B1993927F2AD}"/>
    <hyperlink ref="N15:O15" location="'R5Post main'!B15" display="'R5Post main'!B15" xr:uid="{C241A0EA-F774-482D-B651-D29F70A05BCA}"/>
    <hyperlink ref="N14:O14" location="'R5Post main'!B14" display="'R5Post main'!B14" xr:uid="{07730D33-7534-4FDC-B953-79FB7440EC8A}"/>
    <hyperlink ref="N13:O13" location="'R5Post main'!B13" display="'R5Post main'!B13" xr:uid="{3B81B1B8-6EE8-4BA7-8045-A3F167D7190C}"/>
    <hyperlink ref="P12" location="Blad1!$D$7" display="Blad1!$D$7" xr:uid="{113FED07-5EE6-4E39-80D1-850950A1A695}"/>
    <hyperlink ref="P16" location="Blad1!$D$8" display="Blad1!$D$8" xr:uid="{2BDECDEC-C14B-4137-AA6D-CBB00F3ED19A}"/>
    <hyperlink ref="P17" location="Blad1!$D$9" display="Blad1!$D$9" xr:uid="{36A616EF-3DCB-4DE2-81A5-2053B53577E1}"/>
    <hyperlink ref="P13" location="Blad1!$D$8" display="Blad1!$D$8" xr:uid="{CF0B0377-D659-413B-9322-EF84F02ADBEC}"/>
    <hyperlink ref="P14" location="Blad1!$D$8" display="Blad1!$D$8" xr:uid="{CD5A100B-8326-4DC5-823B-9EDFADFDFB58}"/>
    <hyperlink ref="P15" location="Blad1!$D$8" display="Blad1!$D$8" xr:uid="{5C322584-CDB6-4620-A514-A63D53AE2BF6}"/>
    <hyperlink ref="P12:Q12" location="'R5Post main'!B12" display="'R5Post main'!B12" xr:uid="{BB4DADA8-22F6-4935-B633-F8D744A9F5B7}"/>
    <hyperlink ref="P17:Q17" location="'R5Post main'!B17" display="'R5Post main'!B17" xr:uid="{D69FAFFE-1BD9-42BD-837F-42B2C0F512E4}"/>
    <hyperlink ref="P16:Q16" location="'R5Post main'!B16" display="'R5Post main'!B16" xr:uid="{3A825840-200E-4D61-B17F-F3207B89B5A0}"/>
    <hyperlink ref="P15:Q15" location="'R5Post main'!B15" display="'R5Post main'!B15" xr:uid="{F28430BB-A9D1-489D-B400-316A9C5EA7B9}"/>
    <hyperlink ref="P14:Q14" location="'R5Post main'!B14" display="'R5Post main'!B14" xr:uid="{D2EFB249-F927-4A79-A87D-879C01539D13}"/>
    <hyperlink ref="P13:Q13" location="'R5Post main'!B13" display="'R5Post main'!B13" xr:uid="{6AD9FEAB-E248-4E77-96C1-EBE2DC223E60}"/>
    <hyperlink ref="R12" location="Blad1!$D$7" display="Blad1!$D$7" xr:uid="{6DF1E603-F58A-41DC-BEBF-10A405D13BD6}"/>
    <hyperlink ref="R16" location="Blad1!$D$8" display="Blad1!$D$8" xr:uid="{DE956377-B342-4B32-9E39-E8486C47F83A}"/>
    <hyperlink ref="R17" location="Blad1!$D$9" display="Blad1!$D$9" xr:uid="{BE7335C1-67D6-4C4C-B79E-5401EC1510D9}"/>
    <hyperlink ref="R13" location="Blad1!$D$8" display="Blad1!$D$8" xr:uid="{875011EC-5199-4BD0-B94E-36478AA1A928}"/>
    <hyperlink ref="R14" location="Blad1!$D$8" display="Blad1!$D$8" xr:uid="{5FAD4837-C91A-447B-8DA3-814D618F82A6}"/>
    <hyperlink ref="R15" location="Blad1!$D$8" display="Blad1!$D$8" xr:uid="{52BB8F8F-80BB-40A4-A4D7-576653BB8B4F}"/>
    <hyperlink ref="R12:S12" location="'R5Post main'!B12" display="'R5Post main'!B12" xr:uid="{9A33A732-998E-4564-B554-17F82AD4540F}"/>
    <hyperlink ref="R17:S17" location="'R5Post main'!B17" display="'R5Post main'!B17" xr:uid="{87D43DBC-6EEB-44B6-ABC8-CE4FB63E085A}"/>
    <hyperlink ref="R16:S16" location="'R5Post main'!B16" display="'R5Post main'!B16" xr:uid="{C03999C1-C707-4AC9-B59B-187F2397EBF0}"/>
    <hyperlink ref="R15:S15" location="'R5Post main'!B15" display="'R5Post main'!B15" xr:uid="{1967C4C5-8FE7-4A27-B4D6-DE063B06E176}"/>
    <hyperlink ref="R14:S14" location="'R5Post main'!B14" display="'R5Post main'!B14" xr:uid="{5BD398E7-A12D-4C4D-8535-CACB07F28C13}"/>
    <hyperlink ref="R13:S13" location="'R5Post main'!B13" display="'R5Post main'!B13" xr:uid="{988FE835-AAA8-4BE4-9B77-5AD50E077754}"/>
    <hyperlink ref="T12" location="Blad1!$D$7" display="Blad1!$D$7" xr:uid="{904942BA-F4D3-41C6-A019-C833E2C26562}"/>
    <hyperlink ref="T16" location="Blad1!$D$8" display="Blad1!$D$8" xr:uid="{F4F24CF8-C873-42FA-9F59-3B139B9F41FE}"/>
    <hyperlink ref="T17" location="Blad1!$D$9" display="Blad1!$D$9" xr:uid="{A2BC4B46-F493-4D6A-8AD3-64CC6D1D556F}"/>
    <hyperlink ref="T13" location="Blad1!$D$8" display="Blad1!$D$8" xr:uid="{724D02C6-4454-4108-B850-B6A1A04C1330}"/>
    <hyperlink ref="T14" location="Blad1!$D$8" display="Blad1!$D$8" xr:uid="{0BC92A5A-5C76-4B49-AF9C-B1E1CD94133E}"/>
    <hyperlink ref="T15" location="Blad1!$D$8" display="Blad1!$D$8" xr:uid="{BA5B2FF1-ACF0-4655-B31D-3A24088D45F7}"/>
    <hyperlink ref="T12:U12" location="'R5Post main'!B12" display="'R5Post main'!B12" xr:uid="{30710E04-CEAA-4670-8450-819916CEB2F6}"/>
    <hyperlink ref="T17:U17" location="'R5Post main'!B17" display="'R5Post main'!B17" xr:uid="{E82BFCA8-C3C8-422B-986C-74C7410A6967}"/>
    <hyperlink ref="T16:U16" location="'R5Post main'!B16" display="'R5Post main'!B16" xr:uid="{36C4D637-5C8D-48FC-8A42-9D1128E464CA}"/>
    <hyperlink ref="T15:U15" location="'R5Post main'!B15" display="'R5Post main'!B15" xr:uid="{856B5AE4-81FA-4FB9-93A3-6DBF6902C840}"/>
    <hyperlink ref="T14:U14" location="'R5Post main'!B14" display="'R5Post main'!B14" xr:uid="{0FBA7D10-2F23-4438-B658-238AF2B3CD20}"/>
    <hyperlink ref="T13:U13" location="'R5Post main'!B13" display="'R5Post main'!B13" xr:uid="{F7A21B3E-99DE-42FE-8A24-3B7F610A6D1B}"/>
    <hyperlink ref="V12" location="Blad1!$D$7" display="Blad1!$D$7" xr:uid="{528D17C0-26BA-44E7-9C6C-64978417D477}"/>
    <hyperlink ref="V16" location="Blad1!$D$8" display="Blad1!$D$8" xr:uid="{C478E06B-D52C-46FC-84CB-FF6B951B9E38}"/>
    <hyperlink ref="V17" location="Blad1!$D$9" display="Blad1!$D$9" xr:uid="{447B1E15-B19D-4194-8F44-5841675AB8F9}"/>
    <hyperlink ref="V13" location="Blad1!$D$8" display="Blad1!$D$8" xr:uid="{A7313508-C368-4CF3-BF4B-5A8576BA818B}"/>
    <hyperlink ref="V14" location="Blad1!$D$8" display="Blad1!$D$8" xr:uid="{C2D01048-A5F9-4FD6-BAD6-88B22DEE1536}"/>
    <hyperlink ref="V15" location="Blad1!$D$8" display="Blad1!$D$8" xr:uid="{964DB493-6072-4DFC-803A-FFF11BC83004}"/>
    <hyperlink ref="V12:W12" location="'R5Post main'!B12" display="'R5Post main'!B12" xr:uid="{F2A4E220-A521-4372-BEAA-B4BCCB92F45E}"/>
    <hyperlink ref="V17:W17" location="'R5Post main'!B17" display="'R5Post main'!B17" xr:uid="{6AAD59AD-C4BA-4CB2-873D-321EC4C63AF8}"/>
    <hyperlink ref="V16:W16" location="'R5Post main'!B16" display="'R5Post main'!B16" xr:uid="{48E10489-2642-4769-88D1-83BDE0C05D6A}"/>
    <hyperlink ref="V15:W15" location="'R5Post main'!B15" display="'R5Post main'!B15" xr:uid="{5E7540CC-89B4-4BC8-85C1-ABFA825C3881}"/>
    <hyperlink ref="V14:W14" location="'R5Post main'!B14" display="'R5Post main'!B14" xr:uid="{0C6DC048-2891-4CE8-A893-85109444708B}"/>
    <hyperlink ref="V13:W13" location="'R5Post main'!B13" display="'R5Post main'!B13" xr:uid="{BE76F743-F2A3-4BF5-B82F-72D45BA02D72}"/>
    <hyperlink ref="X12" location="Blad1!$D$7" display="Blad1!$D$7" xr:uid="{599C14E8-BC58-47D8-B18A-76808721DBE7}"/>
    <hyperlink ref="X16" location="Blad1!$D$8" display="Blad1!$D$8" xr:uid="{EFAB5FFC-AACE-4DBD-8184-0BD5E324BA85}"/>
    <hyperlink ref="X17" location="Blad1!$D$9" display="Blad1!$D$9" xr:uid="{AB9B7FA8-5BFF-4470-870D-B43097E0406E}"/>
    <hyperlink ref="X13" location="Blad1!$D$8" display="Blad1!$D$8" xr:uid="{779221BB-FB2A-4952-97CC-5113E3A5A016}"/>
    <hyperlink ref="X14" location="Blad1!$D$8" display="Blad1!$D$8" xr:uid="{CC6D913B-C174-4BF3-864D-B3BB7ED74ACE}"/>
    <hyperlink ref="X15" location="Blad1!$D$8" display="Blad1!$D$8" xr:uid="{823F905C-2EE4-438E-B135-B0E143EE9622}"/>
    <hyperlink ref="X12:Y12" location="'R5Post main'!B12" display="'R5Post main'!B12" xr:uid="{D357223E-BB03-496D-B2C1-AFD8DFCD239C}"/>
    <hyperlink ref="X17:Y17" location="'R5Post main'!B17" display="'R5Post main'!B17" xr:uid="{184CB70D-44E0-4B45-8FA3-3B980F5F347F}"/>
    <hyperlink ref="X16:Y16" location="'R5Post main'!B16" display="'R5Post main'!B16" xr:uid="{AE913060-EDF2-4945-B343-D086097EE043}"/>
    <hyperlink ref="X15:Y15" location="'R5Post main'!B15" display="'R5Post main'!B15" xr:uid="{F653CEC4-AE22-4AD0-BEC7-75A166D740E1}"/>
    <hyperlink ref="X14:Y14" location="'R5Post main'!B14" display="'R5Post main'!B14" xr:uid="{78534CC3-E737-4F48-9DBF-D452AAA482AB}"/>
    <hyperlink ref="X13:Y13" location="'R5Post main'!B13" display="'R5Post main'!B13" xr:uid="{C605DCD4-3519-44FA-B0A9-82820F82E97D}"/>
    <hyperlink ref="Z12" location="Blad1!$D$7" display="Blad1!$D$7" xr:uid="{3388D6E5-B04B-4436-8DE6-8B1FA672664C}"/>
    <hyperlink ref="Z16" location="Blad1!$D$8" display="Blad1!$D$8" xr:uid="{5D7989F5-C8E4-48FB-893D-A6277686C33D}"/>
    <hyperlink ref="Z17" location="Blad1!$D$9" display="Blad1!$D$9" xr:uid="{6BB39726-AEC6-48CC-B762-CF9F2B9FFBD4}"/>
    <hyperlink ref="Z13" location="Blad1!$D$8" display="Blad1!$D$8" xr:uid="{BE4378C4-35FC-4156-A475-C935EA05042E}"/>
    <hyperlink ref="Z14" location="Blad1!$D$8" display="Blad1!$D$8" xr:uid="{608A1B8D-82E8-4871-AFE4-39F6E24592EB}"/>
    <hyperlink ref="Z15" location="Blad1!$D$8" display="Blad1!$D$8" xr:uid="{D79BCF19-9067-41C8-A386-FD7FF2B82487}"/>
    <hyperlink ref="Z12:AA12" location="'R5Post main'!B12" display="'R5Post main'!B12" xr:uid="{B9CAE0A1-E7F9-477D-B326-B8A0658389D4}"/>
    <hyperlink ref="Z17:AA17" location="'R5Post main'!B17" display="'R5Post main'!B17" xr:uid="{EE6B42EF-5093-4080-909D-90CF3A15E283}"/>
    <hyperlink ref="Z16:AA16" location="'R5Post main'!B16" display="'R5Post main'!B16" xr:uid="{43AC5673-1855-4414-96B8-1DDCAE8DB704}"/>
    <hyperlink ref="Z15:AA15" location="'R5Post main'!B15" display="'R5Post main'!B15" xr:uid="{66D925B3-4D6C-4FC1-AC08-CA163C2C7473}"/>
    <hyperlink ref="Z14:AA14" location="'R5Post main'!B14" display="'R5Post main'!B14" xr:uid="{5CEF9E90-490F-49C3-9A6A-8632CFFB703F}"/>
    <hyperlink ref="Z13:AA13" location="'R5Post main'!B13" display="'R5Post main'!B13" xr:uid="{69E4E0BB-A10D-4D13-A63F-0881CAECEAAC}"/>
    <hyperlink ref="AB12" location="Blad1!$D$7" display="Blad1!$D$7" xr:uid="{5133DD05-82B0-4209-A070-57C190AE0860}"/>
    <hyperlink ref="AB16" location="Blad1!$D$8" display="Blad1!$D$8" xr:uid="{E3A208FF-D091-4ECC-A0A0-0E6EBC83B36C}"/>
    <hyperlink ref="AB17" location="Blad1!$D$9" display="Blad1!$D$9" xr:uid="{D8C4BA0E-E7CB-4839-9B9B-32551A9A854E}"/>
    <hyperlink ref="AB13" location="Blad1!$D$8" display="Blad1!$D$8" xr:uid="{B8A23D14-8964-4593-A8CE-F6CDC20F8527}"/>
    <hyperlink ref="AB14" location="Blad1!$D$8" display="Blad1!$D$8" xr:uid="{961AD949-37FD-494F-9839-C8E142541C42}"/>
    <hyperlink ref="AB15" location="Blad1!$D$8" display="Blad1!$D$8" xr:uid="{E41C44BA-A3A8-4DD6-99DF-0F7C6199995A}"/>
    <hyperlink ref="AB12:AC12" location="'R5Post main'!B12" display="'R5Post main'!B12" xr:uid="{E5C8D837-F70A-492E-9943-0D20C0D6FC17}"/>
    <hyperlink ref="AB17:AC17" location="'R5Post main'!B17" display="'R5Post main'!B17" xr:uid="{C59C1045-7229-45FC-8B5B-73323247CC82}"/>
    <hyperlink ref="AB16:AC16" location="'R5Post main'!B16" display="'R5Post main'!B16" xr:uid="{E3941451-C75B-4480-B730-019CE47409F5}"/>
    <hyperlink ref="AB15:AC15" location="'R5Post main'!B15" display="'R5Post main'!B15" xr:uid="{926364D8-C9F1-4EEE-9A7E-F6DD6C7E376D}"/>
    <hyperlink ref="AB14:AC14" location="'R5Post main'!B14" display="'R5Post main'!B14" xr:uid="{AA9B81E4-F04C-49F4-9C64-9A94140F4BF9}"/>
    <hyperlink ref="AB13:AC13" location="'R5Post main'!B13" display="'R5Post main'!B13" xr:uid="{0D1FC3B4-570C-4B42-93F6-DAD627C2BF2D}"/>
    <hyperlink ref="AD12" location="Blad1!$D$7" display="Blad1!$D$7" xr:uid="{2135DE7D-8C8B-44CF-9A55-0802F5C09E60}"/>
    <hyperlink ref="AD16" location="Blad1!$D$8" display="Blad1!$D$8" xr:uid="{66B5F66D-AA0E-44F0-B0FA-F9DEEBBFA80A}"/>
    <hyperlink ref="AD17" location="Blad1!$D$9" display="Blad1!$D$9" xr:uid="{C2B59ED1-463F-4E03-A9FA-B1B3A25CB827}"/>
    <hyperlink ref="AD13" location="Blad1!$D$8" display="Blad1!$D$8" xr:uid="{30F2C9C5-0490-4F4D-B33C-6C1DCDCC80E3}"/>
    <hyperlink ref="AD14" location="Blad1!$D$8" display="Blad1!$D$8" xr:uid="{63F0C72F-E7D2-45CF-A5A1-91A2323D47CE}"/>
    <hyperlink ref="AD15" location="Blad1!$D$8" display="Blad1!$D$8" xr:uid="{8890E16E-0488-4F04-A21E-F9F7945EB452}"/>
    <hyperlink ref="AD12:AE12" location="'R5Post main'!B12" display="'R5Post main'!B12" xr:uid="{8C0C14F7-47F2-4B32-ACD4-2AB14A8FE09A}"/>
    <hyperlink ref="AD17:AE17" location="'R5Post main'!B17" display="'R5Post main'!B17" xr:uid="{3AEC1629-D37E-4206-B0F6-C2FF1B44FAC5}"/>
    <hyperlink ref="AD16:AE16" location="'R5Post main'!B16" display="'R5Post main'!B16" xr:uid="{905917C4-872E-47F7-8051-62272BCC3FAC}"/>
    <hyperlink ref="AD15:AE15" location="'R5Post main'!B15" display="'R5Post main'!B15" xr:uid="{E6E0366A-9419-4268-A741-094A8F66EC0B}"/>
    <hyperlink ref="AD14:AE14" location="'R5Post main'!B14" display="'R5Post main'!B14" xr:uid="{95F0C289-1C1D-4649-B823-13DF353FED5A}"/>
    <hyperlink ref="AD13:AE13" location="'R5Post main'!B13" display="'R5Post main'!B13" xr:uid="{5314AB9B-1F8C-4E2E-A93F-25B23429FBD7}"/>
    <hyperlink ref="AF12" location="Blad1!$D$7" display="Blad1!$D$7" xr:uid="{87B0A529-F05A-4CE3-8F20-A47D71B2ACF2}"/>
    <hyperlink ref="AF16" location="Blad1!$D$8" display="Blad1!$D$8" xr:uid="{F7833498-8265-4C1F-8837-21FFB0EF392A}"/>
    <hyperlink ref="AF17" location="Blad1!$D$9" display="Blad1!$D$9" xr:uid="{A60391ED-6E25-48AB-9492-526CC68E7706}"/>
    <hyperlink ref="AF13" location="Blad1!$D$8" display="Blad1!$D$8" xr:uid="{A3D8250C-1479-4D64-903F-78713B8BBDC4}"/>
    <hyperlink ref="AF14" location="Blad1!$D$8" display="Blad1!$D$8" xr:uid="{C703FCCE-34F6-4C66-80EB-924FB4D0A47F}"/>
    <hyperlink ref="AF15" location="Blad1!$D$8" display="Blad1!$D$8" xr:uid="{813BBDC8-6E3E-4A0C-A74F-0181147D7AF5}"/>
    <hyperlink ref="AF12:AG12" location="'R5Post main'!B12" display="'R5Post main'!B12" xr:uid="{3A46E75E-9AD9-492D-82D3-0AD057E79C9B}"/>
    <hyperlink ref="AF17:AG17" location="'R5Post main'!B17" display="'R5Post main'!B17" xr:uid="{BA85B388-D3D3-44C9-B277-0460F3681600}"/>
    <hyperlink ref="AF16:AG16" location="'R5Post main'!B16" display="'R5Post main'!B16" xr:uid="{9EC76856-3246-44A6-AEA9-90BB812ED363}"/>
    <hyperlink ref="AF15:AG15" location="'R5Post main'!B15" display="'R5Post main'!B15" xr:uid="{1A717568-8271-4EA1-A929-B9E2D991933B}"/>
    <hyperlink ref="AF14:AG14" location="'R5Post main'!B14" display="'R5Post main'!B14" xr:uid="{C5BB3600-B59F-4C57-A171-6867F38C6D26}"/>
    <hyperlink ref="AF13:AG13" location="'R5Post main'!B13" display="'R5Post main'!B13" xr:uid="{41145A12-4512-41C5-A490-4E4B9D331BA1}"/>
    <hyperlink ref="AH12" location="Blad1!$D$7" display="Blad1!$D$7" xr:uid="{4B1DBDC1-DBD1-4EAA-B600-7F72FC406AAE}"/>
    <hyperlink ref="AH16" location="Blad1!$D$8" display="Blad1!$D$8" xr:uid="{08B00B84-D482-4072-B835-DED5BFE8F155}"/>
    <hyperlink ref="AH17" location="Blad1!$D$9" display="Blad1!$D$9" xr:uid="{D1BA5ED5-93C7-456A-8EC3-D80AA1F8695D}"/>
    <hyperlink ref="AH13" location="Blad1!$D$8" display="Blad1!$D$8" xr:uid="{399691FF-EF30-4E87-9F4C-E163B9428189}"/>
    <hyperlink ref="AH14" location="Blad1!$D$8" display="Blad1!$D$8" xr:uid="{03282F9E-4FBE-4C22-94DB-58538CBEF688}"/>
    <hyperlink ref="AH15" location="Blad1!$D$8" display="Blad1!$D$8" xr:uid="{EB2C68D6-2900-4EA4-8589-7B9C2D8EBAE6}"/>
    <hyperlink ref="AH12:AI12" location="'R5Post main'!B12" display="'R5Post main'!B12" xr:uid="{7BBC9FB6-A1C4-4528-B99B-A1B2A704C9C1}"/>
    <hyperlink ref="AH17:AI17" location="'R5Post main'!B17" display="'R5Post main'!B17" xr:uid="{9C79D644-C6C1-414B-9765-24BA9CDC9E3B}"/>
    <hyperlink ref="AH16:AI16" location="'R5Post main'!B16" display="'R5Post main'!B16" xr:uid="{F78DDC90-B5B1-46BD-8FF8-0942CD496DCE}"/>
    <hyperlink ref="AH15:AI15" location="'R5Post main'!B15" display="'R5Post main'!B15" xr:uid="{7AA8A1FA-01C6-4F71-923F-3AD554DD3AC7}"/>
    <hyperlink ref="AH14:AI14" location="'R5Post main'!B14" display="'R5Post main'!B14" xr:uid="{6A6CC7F2-03D1-49F2-92DD-DC00ED7CFA57}"/>
    <hyperlink ref="AH13:AI13" location="'R5Post main'!B13" display="'R5Post main'!B13" xr:uid="{03B9FAE7-D613-42DD-A6D2-CA759DB862B7}"/>
    <hyperlink ref="AJ12" location="Blad1!$D$7" display="Blad1!$D$7" xr:uid="{2930777D-F4CF-420F-BB38-A905C05AE28E}"/>
    <hyperlink ref="AJ16" location="Blad1!$D$8" display="Blad1!$D$8" xr:uid="{75913DF9-BD36-4DAC-963B-8B8F115DB14A}"/>
    <hyperlink ref="AJ17" location="Blad1!$D$9" display="Blad1!$D$9" xr:uid="{3D8778D3-A870-4E76-8E29-48EDB9C61CA5}"/>
    <hyperlink ref="AJ13" location="Blad1!$D$8" display="Blad1!$D$8" xr:uid="{F804D139-8033-4431-94EC-B64E139AFE54}"/>
    <hyperlink ref="AJ14" location="Blad1!$D$8" display="Blad1!$D$8" xr:uid="{27F3CD84-596D-47DD-A510-FFF799593E38}"/>
    <hyperlink ref="AJ15" location="Blad1!$D$8" display="Blad1!$D$8" xr:uid="{3DB34606-0618-4744-9505-CF402E6E3BFC}"/>
    <hyperlink ref="AJ12:AK12" location="'R5Post main'!B12" display="'R5Post main'!B12" xr:uid="{89F276B5-3E70-4302-8779-EFB5BA02AAF8}"/>
    <hyperlink ref="AJ17:AK17" location="'R5Post main'!B17" display="'R5Post main'!B17" xr:uid="{1B5870A3-3B2D-4A55-8593-9BA4E451D0B1}"/>
    <hyperlink ref="AJ16:AK16" location="'R5Post main'!B16" display="'R5Post main'!B16" xr:uid="{2E6D6479-4A5C-4006-8B2B-21A60F13BEB7}"/>
    <hyperlink ref="AJ15:AK15" location="'R5Post main'!B15" display="'R5Post main'!B15" xr:uid="{F732759B-E077-4616-8F0E-0D417BF98FAF}"/>
    <hyperlink ref="AJ14:AK14" location="'R5Post main'!B14" display="'R5Post main'!B14" xr:uid="{5C52F729-7585-4FB1-A2E6-31013D9757CB}"/>
    <hyperlink ref="AJ13:AK13" location="'R5Post main'!B13" display="'R5Post main'!B13" xr:uid="{36479654-4464-4085-9B2B-CCC7103BC860}"/>
    <hyperlink ref="AL12" location="Blad1!$D$7" display="Blad1!$D$7" xr:uid="{F0323460-A31E-48C0-91F8-EC8F9ADA4F75}"/>
    <hyperlink ref="AL16" location="Blad1!$D$8" display="Blad1!$D$8" xr:uid="{8914EFCA-BAED-42AB-9F0A-21561191A7EF}"/>
    <hyperlink ref="AL17" location="Blad1!$D$9" display="Blad1!$D$9" xr:uid="{A78E94B9-E1F9-4649-A75C-C5F30F0104EA}"/>
    <hyperlink ref="AL13" location="Blad1!$D$8" display="Blad1!$D$8" xr:uid="{DAB840E0-F2C2-460F-8858-810721FDB212}"/>
    <hyperlink ref="AL14" location="Blad1!$D$8" display="Blad1!$D$8" xr:uid="{2E99EBD8-63C3-40E1-9F2C-440B22F280F3}"/>
    <hyperlink ref="AL15" location="Blad1!$D$8" display="Blad1!$D$8" xr:uid="{87C94BBF-D4C9-4D3E-A53C-580D16645195}"/>
    <hyperlink ref="AL12:AM12" location="'R5Post main'!B12" display="'R5Post main'!B12" xr:uid="{EA057733-A374-4433-82BD-ED692E00FFC8}"/>
    <hyperlink ref="AL17:AM17" location="'R5Post main'!B17" display="'R5Post main'!B17" xr:uid="{FFE271A9-2CFF-451E-BCE5-C82A9A35CC01}"/>
    <hyperlink ref="AL16:AM16" location="'R5Post main'!B16" display="'R5Post main'!B16" xr:uid="{2457DF08-BC03-4D59-B993-66DBC4345544}"/>
    <hyperlink ref="AL15:AM15" location="'R5Post main'!B15" display="'R5Post main'!B15" xr:uid="{E1E38363-7D7F-4838-AE2D-2F6932398DEA}"/>
    <hyperlink ref="AL14:AM14" location="'R5Post main'!B14" display="'R5Post main'!B14" xr:uid="{F03BF311-E426-4C65-B31B-1033FD6A5D5E}"/>
    <hyperlink ref="AL13:AM13" location="'R5Post main'!B13" display="'R5Post main'!B13" xr:uid="{E26287A6-BA60-4F1B-93A5-DEFD12887E27}"/>
    <hyperlink ref="AN12" location="Blad1!$D$7" display="Blad1!$D$7" xr:uid="{7FB2E163-A5DA-42C6-AE77-54A3343CC5C2}"/>
    <hyperlink ref="AN16" location="Blad1!$D$8" display="Blad1!$D$8" xr:uid="{35C0AABC-C21C-43BF-91E5-61343C3C00CD}"/>
    <hyperlink ref="AN17" location="Blad1!$D$9" display="Blad1!$D$9" xr:uid="{DFA1F3E8-17F4-44E6-95AD-60058C8C1DC7}"/>
    <hyperlink ref="AN13" location="Blad1!$D$8" display="Blad1!$D$8" xr:uid="{4D200629-37B2-4560-84BC-CC362FADB085}"/>
    <hyperlink ref="AN14" location="Blad1!$D$8" display="Blad1!$D$8" xr:uid="{D5047E47-4D64-43B8-96A6-C6ABFB896AAA}"/>
    <hyperlink ref="AN15" location="Blad1!$D$8" display="Blad1!$D$8" xr:uid="{0C95F6CF-EEA2-4325-8783-F1E25F2CED80}"/>
    <hyperlink ref="AN12:AO12" location="'R5Post main'!B12" display="'R5Post main'!B12" xr:uid="{DB105B5D-AD71-4699-8BB5-77F55D18C8A3}"/>
    <hyperlink ref="AN17:AO17" location="'R5Post main'!B17" display="'R5Post main'!B17" xr:uid="{941C7B65-FA2A-4318-BADF-A37045CE29D6}"/>
    <hyperlink ref="AN16:AO16" location="'R5Post main'!B16" display="'R5Post main'!B16" xr:uid="{C1B328D0-2F16-4813-BE75-CEE597F58DF6}"/>
    <hyperlink ref="AN15:AO15" location="'R5Post main'!B15" display="'R5Post main'!B15" xr:uid="{5142F51A-1E37-47DD-A785-DF1A6EFA69D2}"/>
    <hyperlink ref="AN14:AO14" location="'R5Post main'!B14" display="'R5Post main'!B14" xr:uid="{00B181D7-EE44-4CC6-8A1C-CC83FAB50F7A}"/>
    <hyperlink ref="AN13:AO13" location="'R5Post main'!B13" display="'R5Post main'!B13" xr:uid="{0347D33F-7E08-424F-B325-0ED3CD088C13}"/>
    <hyperlink ref="AP12" location="Blad1!$D$7" display="Blad1!$D$7" xr:uid="{C1B166D5-95E2-4536-9E08-992A2598D6B4}"/>
    <hyperlink ref="AP16" location="Blad1!$D$8" display="Blad1!$D$8" xr:uid="{2218A963-C869-4CBE-AC4A-70942481E154}"/>
    <hyperlink ref="AP17" location="Blad1!$D$9" display="Blad1!$D$9" xr:uid="{B696A46B-BBAA-4387-B94C-0B169E935761}"/>
    <hyperlink ref="AP13" location="Blad1!$D$8" display="Blad1!$D$8" xr:uid="{97EFB0A6-AEAA-422A-AF3C-8C80713D2571}"/>
    <hyperlink ref="AP14" location="Blad1!$D$8" display="Blad1!$D$8" xr:uid="{43BBB55B-B6CC-4C23-A124-62447A2F9354}"/>
    <hyperlink ref="AP15" location="Blad1!$D$8" display="Blad1!$D$8" xr:uid="{93E91142-907F-4D97-8A2D-4AB112BE0A68}"/>
    <hyperlink ref="AP12:AQ12" location="'R5Post main'!B12" display="'R5Post main'!B12" xr:uid="{073D492B-E2C1-42F8-8B41-7E76B22DEA28}"/>
    <hyperlink ref="AP17:AQ17" location="'R5Post main'!B17" display="'R5Post main'!B17" xr:uid="{B55B6390-C232-44D6-B67C-7E27767EE229}"/>
    <hyperlink ref="AP16:AQ16" location="'R5Post main'!B16" display="'R5Post main'!B16" xr:uid="{90F689BB-94BC-4C35-83BB-5B615E86743E}"/>
    <hyperlink ref="AP15:AQ15" location="'R5Post main'!B15" display="'R5Post main'!B15" xr:uid="{AED4F30D-3CDD-4FD7-B9CD-DABB854AC029}"/>
    <hyperlink ref="AP14:AQ14" location="'R5Post main'!B14" display="'R5Post main'!B14" xr:uid="{7951D369-BF59-406B-A5F1-463E95069BE8}"/>
    <hyperlink ref="AP13:AQ13" location="'R5Post main'!B13" display="'R5Post main'!B13" xr:uid="{5004386E-48C0-4C9F-A4DD-C25FB11F81E0}"/>
    <hyperlink ref="AR12" location="Blad1!$D$7" display="Blad1!$D$7" xr:uid="{3A4C5E7D-A56E-4AFD-88ED-2008EA5521FF}"/>
    <hyperlink ref="AR16" location="Blad1!$D$8" display="Blad1!$D$8" xr:uid="{156688E9-23C5-4B36-B6D3-14B7F0F9E3A6}"/>
    <hyperlink ref="AR17" location="Blad1!$D$9" display="Blad1!$D$9" xr:uid="{DB6BD9CC-EEA2-43FF-83BF-1FD125F3F4C5}"/>
    <hyperlink ref="AR13" location="Blad1!$D$8" display="Blad1!$D$8" xr:uid="{180E1B15-3751-453E-B94C-F3011025CA03}"/>
    <hyperlink ref="AR14" location="Blad1!$D$8" display="Blad1!$D$8" xr:uid="{3BCA87FE-F3E0-455D-AF7E-604E22B34624}"/>
    <hyperlink ref="AR15" location="Blad1!$D$8" display="Blad1!$D$8" xr:uid="{53EB2B9F-1792-414F-AF74-01C596A7FDD0}"/>
    <hyperlink ref="AR12:AS12" location="'R5Post main'!B12" display="'R5Post main'!B12" xr:uid="{BEF661D5-1872-47D0-B2D5-08A95C0A1B5A}"/>
    <hyperlink ref="AR17:AS17" location="'R5Post main'!B17" display="'R5Post main'!B17" xr:uid="{58CEA0BA-6057-47B7-936C-C55CD83EBF03}"/>
    <hyperlink ref="AR16:AS16" location="'R5Post main'!B16" display="'R5Post main'!B16" xr:uid="{26E12F40-0BBF-40CA-A62B-FA287478A0D0}"/>
    <hyperlink ref="AR15:AS15" location="'R5Post main'!B15" display="'R5Post main'!B15" xr:uid="{731754BC-C412-41E9-882D-2F7E6DEB38F5}"/>
    <hyperlink ref="AR14:AS14" location="'R5Post main'!B14" display="'R5Post main'!B14" xr:uid="{848BAFB2-DD00-4575-A39E-902D5289284B}"/>
    <hyperlink ref="AR13:AS13" location="'R5Post main'!B13" display="'R5Post main'!B13" xr:uid="{F34A558B-FFA2-4CD0-A9CD-D43D296BEDC2}"/>
    <hyperlink ref="AT12" location="Blad1!$D$7" display="Blad1!$D$7" xr:uid="{B402E19F-5296-43B8-B90D-0737CD8BB0ED}"/>
    <hyperlink ref="AT16" location="Blad1!$D$8" display="Blad1!$D$8" xr:uid="{5E4E9645-F7B0-494B-90D2-A008F8D9D6EC}"/>
    <hyperlink ref="AT17" location="Blad1!$D$9" display="Blad1!$D$9" xr:uid="{5C59B542-01A7-4BE9-995E-C8730609BFC8}"/>
    <hyperlink ref="AT13" location="Blad1!$D$8" display="Blad1!$D$8" xr:uid="{D2AE3A0F-2753-44DA-B4E9-A3DDC46EA658}"/>
    <hyperlink ref="AT14" location="Blad1!$D$8" display="Blad1!$D$8" xr:uid="{90C217A6-4D57-4363-8857-680030E43A92}"/>
    <hyperlink ref="AT15" location="Blad1!$D$8" display="Blad1!$D$8" xr:uid="{DA7A6A66-837A-45D6-B470-338C3B301AF8}"/>
    <hyperlink ref="AT12:AU12" location="'R5Post main'!B12" display="'R5Post main'!B12" xr:uid="{08796EE8-51F1-4F18-9439-8E9C8CF72CF5}"/>
    <hyperlink ref="AT17:AU17" location="'R5Post main'!B17" display="'R5Post main'!B17" xr:uid="{0AF2B462-C8EB-41BD-9B21-FB5D4D1872FC}"/>
    <hyperlink ref="AT16:AU16" location="'R5Post main'!B16" display="'R5Post main'!B16" xr:uid="{FC747009-BC20-422D-9DFC-B4ED64DC199F}"/>
    <hyperlink ref="AT15:AU15" location="'R5Post main'!B15" display="'R5Post main'!B15" xr:uid="{9F41D9A7-AAB5-4395-B4FC-5C78CA760B98}"/>
    <hyperlink ref="AT14:AU14" location="'R5Post main'!B14" display="'R5Post main'!B14" xr:uid="{F8ABD6D6-1B49-423A-B1AE-F6E2DB90C7F4}"/>
    <hyperlink ref="AT13:AU13" location="'R5Post main'!B13" display="'R5Post main'!B13" xr:uid="{027E6C22-E1E5-48A6-A4B5-94BCE1984B8A}"/>
    <hyperlink ref="AV12" location="Blad1!$D$7" display="Blad1!$D$7" xr:uid="{8706B6CF-FF9D-4A75-B3D3-C6AB79A0C901}"/>
    <hyperlink ref="AV16" location="Blad1!$D$8" display="Blad1!$D$8" xr:uid="{269BAA6B-8A8E-42BD-94D1-2A6B0B0AC390}"/>
    <hyperlink ref="AV17" location="Blad1!$D$9" display="Blad1!$D$9" xr:uid="{164A0084-5E76-4913-826E-E15013BA8A31}"/>
    <hyperlink ref="AV13" location="Blad1!$D$8" display="Blad1!$D$8" xr:uid="{FB1E6EF6-8BF2-4108-81A4-2F4FACC87098}"/>
    <hyperlink ref="AV14" location="Blad1!$D$8" display="Blad1!$D$8" xr:uid="{667A97D7-FFE3-434F-B229-3156DC7898D0}"/>
    <hyperlink ref="AV15" location="Blad1!$D$8" display="Blad1!$D$8" xr:uid="{4A47F9F0-9644-4127-9E76-16037BC9DFDF}"/>
    <hyperlink ref="AV12:AW12" location="'R5Post main'!B12" display="'R5Post main'!B12" xr:uid="{C9844085-56FE-4928-8A47-B69130616E10}"/>
    <hyperlink ref="AV17:AW17" location="'R5Post main'!B17" display="'R5Post main'!B17" xr:uid="{ACB64129-C37E-4FB6-A4EC-47C5433E7F81}"/>
    <hyperlink ref="AV16:AW16" location="'R5Post main'!B16" display="'R5Post main'!B16" xr:uid="{DB0F8E7D-30ED-49DD-9041-1D78B49576F7}"/>
    <hyperlink ref="AV15:AW15" location="'R5Post main'!B15" display="'R5Post main'!B15" xr:uid="{96B29160-D257-47D2-A9A1-7B2A469C8387}"/>
    <hyperlink ref="AV14:AW14" location="'R5Post main'!B14" display="'R5Post main'!B14" xr:uid="{753FB4EB-8004-4CBC-84E0-6E9289E6BC39}"/>
    <hyperlink ref="AV13:AW13" location="'R5Post main'!B13" display="'R5Post main'!B13" xr:uid="{ECA88CB4-3B06-4A90-A7C8-8F2FD9F87A57}"/>
    <hyperlink ref="AX12" location="Blad1!$D$7" display="Blad1!$D$7" xr:uid="{35AE6547-F47A-4B2E-AC14-20EC62B893B5}"/>
    <hyperlink ref="AX16" location="Blad1!$D$8" display="Blad1!$D$8" xr:uid="{DFDDA5DA-F181-4F78-BDBC-DBBD5634FFF3}"/>
    <hyperlink ref="AX17" location="Blad1!$D$9" display="Blad1!$D$9" xr:uid="{A92C3396-AC2F-4D60-AA15-9C348C606EBF}"/>
    <hyperlink ref="AX13" location="Blad1!$D$8" display="Blad1!$D$8" xr:uid="{ADA42F35-7405-4B7B-BFF8-F3829E9AA31E}"/>
    <hyperlink ref="AX14" location="Blad1!$D$8" display="Blad1!$D$8" xr:uid="{DE7B1E8E-D180-4EAD-81E3-D1E144A61D79}"/>
    <hyperlink ref="AX15" location="Blad1!$D$8" display="Blad1!$D$8" xr:uid="{292EB440-6211-454C-9114-0600D59724D7}"/>
    <hyperlink ref="AX12:AY12" location="'R5Post main'!B12" display="'R5Post main'!B12" xr:uid="{09C52203-7286-4654-B5F7-5C9F039A55CE}"/>
    <hyperlink ref="AX17:AY17" location="'R5Post main'!B17" display="'R5Post main'!B17" xr:uid="{77D4F5DE-E9DE-4347-836C-2D18907AEE1D}"/>
    <hyperlink ref="AX16:AY16" location="'R5Post main'!B16" display="'R5Post main'!B16" xr:uid="{1937204F-5344-4E57-B5F2-44085960E7D3}"/>
    <hyperlink ref="AX15:AY15" location="'R5Post main'!B15" display="'R5Post main'!B15" xr:uid="{4B1B7BC7-0ACF-460F-AEC4-3594B59F97C6}"/>
    <hyperlink ref="AX14:AY14" location="'R5Post main'!B14" display="'R5Post main'!B14" xr:uid="{2B985DE3-9A93-43C9-9F68-F20CB16B511D}"/>
    <hyperlink ref="AX13:AY13" location="'R5Post main'!B13" display="'R5Post main'!B13" xr:uid="{345770F8-D4A3-49ED-AAC4-2C9DBB141B9F}"/>
    <hyperlink ref="AZ12" location="Blad1!$D$7" display="Blad1!$D$7" xr:uid="{104E7E29-EAFB-4DA4-8D30-16DE6484A7CF}"/>
    <hyperlink ref="AZ16" location="Blad1!$D$8" display="Blad1!$D$8" xr:uid="{1E29BAAD-A4B5-4A40-8254-3F82C5A539BF}"/>
    <hyperlink ref="AZ17" location="Blad1!$D$9" display="Blad1!$D$9" xr:uid="{BF9C1021-9304-4E1B-8E3F-EB70C47AB954}"/>
    <hyperlink ref="AZ13" location="Blad1!$D$8" display="Blad1!$D$8" xr:uid="{D79BCBAD-D23D-455E-B1E2-A34CFA601DBB}"/>
    <hyperlink ref="AZ14" location="Blad1!$D$8" display="Blad1!$D$8" xr:uid="{687CA019-F2E2-4283-B702-74897DC081FF}"/>
    <hyperlink ref="AZ15" location="Blad1!$D$8" display="Blad1!$D$8" xr:uid="{05B35ECA-3192-4252-91A7-C7F13F44C534}"/>
    <hyperlink ref="AZ12:BA12" location="'R5Post main'!B12" display="'R5Post main'!B12" xr:uid="{0260922E-6B8E-4A83-B5E0-21E0DB1B39AD}"/>
    <hyperlink ref="AZ17:BA17" location="'R5Post main'!B17" display="'R5Post main'!B17" xr:uid="{D36C0977-128F-4902-9D45-44AF8D82FD27}"/>
    <hyperlink ref="AZ16:BA16" location="'R5Post main'!B16" display="'R5Post main'!B16" xr:uid="{C5C88048-79D7-4E83-8E61-273F3A80A3A8}"/>
    <hyperlink ref="AZ15:BA15" location="'R5Post main'!B15" display="'R5Post main'!B15" xr:uid="{93F42427-45F7-4759-9A5E-C8F4CAF1910C}"/>
    <hyperlink ref="AZ14:BA14" location="'R5Post main'!B14" display="'R5Post main'!B14" xr:uid="{DE26602E-2905-4F4C-9ED7-B66592655F40}"/>
    <hyperlink ref="AZ13:BA13" location="'R5Post main'!B13" display="'R5Post main'!B13" xr:uid="{032F3178-F3CF-4DFC-B4D0-367A4266B444}"/>
    <hyperlink ref="BB12" location="Blad1!$D$7" display="Blad1!$D$7" xr:uid="{4B43AC75-6823-4390-A538-673C204B3B48}"/>
    <hyperlink ref="BB16" location="Blad1!$D$8" display="Blad1!$D$8" xr:uid="{B5A7E90D-351D-4C17-BC07-7412C252759C}"/>
    <hyperlink ref="BB17" location="Blad1!$D$9" display="Blad1!$D$9" xr:uid="{8FB77709-D190-454C-801A-7BD66F7D9B65}"/>
    <hyperlink ref="BB13" location="Blad1!$D$8" display="Blad1!$D$8" xr:uid="{A5D5054F-8513-4EC4-AE9B-92BC742F79C9}"/>
    <hyperlink ref="BB14" location="Blad1!$D$8" display="Blad1!$D$8" xr:uid="{4EE21410-4A13-4FBD-801E-9E0B8FE7904D}"/>
    <hyperlink ref="BB15" location="Blad1!$D$8" display="Blad1!$D$8" xr:uid="{58829620-FC42-42FD-8EE7-468485B9AC01}"/>
    <hyperlink ref="BB12:BC12" location="'R5Post main'!B12" display="'R5Post main'!B12" xr:uid="{71A6BE65-4C87-4F21-87D2-3B6F99DCCD12}"/>
    <hyperlink ref="BB17:BC17" location="'R5Post main'!B17" display="'R5Post main'!B17" xr:uid="{00EE2DBC-D19B-4CB4-A5FF-4BEC3EBD2EE3}"/>
    <hyperlink ref="BB16:BC16" location="'R5Post main'!B16" display="'R5Post main'!B16" xr:uid="{D2565065-5D6C-44C8-BF32-2E18203E4420}"/>
    <hyperlink ref="BB15:BC15" location="'R5Post main'!B15" display="'R5Post main'!B15" xr:uid="{44C38A86-204B-477C-A315-BEA3963780D7}"/>
    <hyperlink ref="BB14:BC14" location="'R5Post main'!B14" display="'R5Post main'!B14" xr:uid="{871B8203-C0F6-41E4-8DF7-49B161790D15}"/>
    <hyperlink ref="BB13:BC13" location="'R5Post main'!B13" display="'R5Post main'!B13" xr:uid="{B69C1AD8-F672-46C2-95BB-3A270DC0F2F8}"/>
    <hyperlink ref="BD12" location="Blad1!$D$7" display="Blad1!$D$7" xr:uid="{1E2AD427-7794-4E29-809F-315B27736568}"/>
    <hyperlink ref="BD16" location="Blad1!$D$8" display="Blad1!$D$8" xr:uid="{A75268D9-6B9A-4F1C-9FE1-14DB98B35AC2}"/>
    <hyperlink ref="BD17" location="Blad1!$D$9" display="Blad1!$D$9" xr:uid="{8FFB5355-2D2D-4C48-AD45-BFC546C10B62}"/>
    <hyperlink ref="BD13" location="Blad1!$D$8" display="Blad1!$D$8" xr:uid="{5F032805-58CB-404C-AC82-D6BA01EA2CA4}"/>
    <hyperlink ref="BD14" location="Blad1!$D$8" display="Blad1!$D$8" xr:uid="{1251B363-D487-4D30-BA03-4EC0AF5E1D25}"/>
    <hyperlink ref="BD15" location="Blad1!$D$8" display="Blad1!$D$8" xr:uid="{D8A6588C-7184-4C1F-AD8C-C0379667BA7D}"/>
    <hyperlink ref="BD12:BE12" location="'R5Post main'!B12" display="'R5Post main'!B12" xr:uid="{BBBB95AB-6C57-4029-84BE-D90163635B6C}"/>
    <hyperlink ref="BD17:BE17" location="'R5Post main'!B17" display="'R5Post main'!B17" xr:uid="{B8BBA49C-083B-4E86-A775-8C3D972A869E}"/>
    <hyperlink ref="BD16:BE16" location="'R5Post main'!B16" display="'R5Post main'!B16" xr:uid="{B156A68A-935D-45B5-B883-5DEE741CCC0B}"/>
    <hyperlink ref="BD15:BE15" location="'R5Post main'!B15" display="'R5Post main'!B15" xr:uid="{818A33F9-8F08-4F7B-8759-377520B0735C}"/>
    <hyperlink ref="BD14:BE14" location="'R5Post main'!B14" display="'R5Post main'!B14" xr:uid="{A80AFDB8-A80B-4924-88D9-3201E22AD4F2}"/>
    <hyperlink ref="BD13:BE13" location="'R5Post main'!B13" display="'R5Post main'!B13" xr:uid="{1D440060-0EEC-4787-992C-F88F2CF06646}"/>
    <hyperlink ref="BF12" location="Blad1!$D$7" display="Blad1!$D$7" xr:uid="{551439E4-45F8-4AD0-A7E4-544A99CC8736}"/>
    <hyperlink ref="BF16" location="Blad1!$D$8" display="Blad1!$D$8" xr:uid="{86C2B95C-B8DE-4538-BAE4-122560E80CE3}"/>
    <hyperlink ref="BF17" location="Blad1!$D$9" display="Blad1!$D$9" xr:uid="{5B929C79-9B5B-444D-81DC-D0C9D41FC3C7}"/>
    <hyperlink ref="BF13" location="Blad1!$D$8" display="Blad1!$D$8" xr:uid="{71C2EFFE-93AC-43F4-95E8-543DAB442D71}"/>
    <hyperlink ref="BF14" location="Blad1!$D$8" display="Blad1!$D$8" xr:uid="{0D59961D-7EC9-4FB9-AF70-B2FBF60BF2DD}"/>
    <hyperlink ref="BF15" location="Blad1!$D$8" display="Blad1!$D$8" xr:uid="{ABA12FF2-B2F1-4BBB-B382-9411F7DC3C52}"/>
    <hyperlink ref="BF12:BG12" location="'R5Post main'!B12" display="'R5Post main'!B12" xr:uid="{82BBE1B2-50F3-420B-8B91-5DD61B2963CA}"/>
    <hyperlink ref="BF17:BG17" location="'R5Post main'!B17" display="'R5Post main'!B17" xr:uid="{337FE88A-4ACB-4459-91A9-95473D9A9F4A}"/>
    <hyperlink ref="BF16:BG16" location="'R5Post main'!B16" display="'R5Post main'!B16" xr:uid="{B676F0E9-F31E-4D49-9B79-A5F291AB1779}"/>
    <hyperlink ref="BF15:BG15" location="'R5Post main'!B15" display="'R5Post main'!B15" xr:uid="{DF96FB27-7EBB-47CF-B7DE-6C3F1A46D1A4}"/>
    <hyperlink ref="BF14:BG14" location="'R5Post main'!B14" display="'R5Post main'!B14" xr:uid="{C7528B0A-854A-4433-B8EF-79339FBDFBE7}"/>
    <hyperlink ref="BF13:BG13" location="'R5Post main'!B13" display="'R5Post main'!B13" xr:uid="{C34CD60C-8D93-46DD-A9C3-1B0DE3C31D4C}"/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xr:uid="{AB8CF6A0-8ABD-49AB-BC74-A31B72B8EA16}"/>
    <hyperlink ref="B9" r:id="rId2" xr:uid="{9275F496-7A45-445E-8A11-E8BA611DAD0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2019-08-29T13:12:54Z</dcterms:modified>
</cp:coreProperties>
</file>