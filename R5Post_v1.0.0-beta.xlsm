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DERO_local\Beräkningar\RHSP\RHSP\"/>
    </mc:Choice>
  </mc:AlternateContent>
  <xr:revisionPtr revIDLastSave="0" documentId="13_ncr:1_{8B552334-2D49-4882-99FF-EC14F886B191}" xr6:coauthVersionLast="36" xr6:coauthVersionMax="36" xr10:uidLastSave="{00000000-0000-0000-0000-000000000000}"/>
  <bookViews>
    <workbookView xWindow="0" yWindow="0" windowWidth="28800" windowHeight="11895" xr2:uid="{00000000-000D-0000-FFFF-FFFF00000000}"/>
  </bookViews>
  <sheets>
    <sheet name="R5Post main" sheetId="1" r:id="rId1"/>
    <sheet name="Help section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27" i="1" l="1"/>
  <c r="F27" i="1"/>
  <c r="D27" i="1"/>
  <c r="B27" i="1"/>
  <c r="B26" i="1"/>
  <c r="F26" i="1"/>
  <c r="D26" i="1"/>
  <c r="B24" i="1"/>
  <c r="X31" i="1"/>
  <c r="V31" i="1"/>
  <c r="N31" i="1"/>
  <c r="L31" i="1"/>
  <c r="T31" i="1"/>
  <c r="R31" i="1"/>
  <c r="J31" i="1"/>
  <c r="P31" i="1"/>
  <c r="B31" i="1"/>
  <c r="L17" i="1" l="1"/>
  <c r="L16" i="1"/>
  <c r="L15" i="1"/>
  <c r="L14" i="1"/>
  <c r="L13" i="1"/>
  <c r="L12" i="1"/>
  <c r="J17" i="1"/>
  <c r="J16" i="1"/>
  <c r="J15" i="1"/>
  <c r="J14" i="1"/>
  <c r="J13" i="1"/>
  <c r="J12" i="1"/>
  <c r="H17" i="1"/>
  <c r="H16" i="1"/>
  <c r="H15" i="1"/>
  <c r="H14" i="1"/>
  <c r="H13" i="1"/>
  <c r="H12" i="1"/>
  <c r="F17" i="1"/>
  <c r="F16" i="1"/>
  <c r="F15" i="1"/>
  <c r="F14" i="1"/>
  <c r="F13" i="1"/>
  <c r="F12" i="1"/>
  <c r="D12" i="1"/>
  <c r="B12" i="1"/>
  <c r="BH24" i="1" l="1"/>
  <c r="BH17" i="1"/>
  <c r="BH16" i="1"/>
  <c r="BH15" i="1"/>
  <c r="BH14" i="1"/>
  <c r="BH13" i="1"/>
  <c r="BH12" i="1"/>
  <c r="BF24" i="1"/>
  <c r="BF17" i="1"/>
  <c r="BF16" i="1"/>
  <c r="BF15" i="1"/>
  <c r="BF14" i="1"/>
  <c r="BF13" i="1"/>
  <c r="BF12" i="1"/>
  <c r="BD24" i="1"/>
  <c r="BD17" i="1"/>
  <c r="BD16" i="1"/>
  <c r="BD15" i="1"/>
  <c r="BD14" i="1"/>
  <c r="BD13" i="1"/>
  <c r="BD12" i="1"/>
  <c r="BB24" i="1"/>
  <c r="BB17" i="1"/>
  <c r="BB16" i="1"/>
  <c r="BB15" i="1"/>
  <c r="BB14" i="1"/>
  <c r="BB13" i="1"/>
  <c r="BB12" i="1"/>
  <c r="AZ24" i="1"/>
  <c r="AZ17" i="1"/>
  <c r="AZ16" i="1"/>
  <c r="AZ15" i="1"/>
  <c r="AZ14" i="1"/>
  <c r="AZ13" i="1"/>
  <c r="AZ12" i="1"/>
  <c r="AX24" i="1"/>
  <c r="AX17" i="1"/>
  <c r="AX16" i="1"/>
  <c r="AX15" i="1"/>
  <c r="AX14" i="1"/>
  <c r="AX13" i="1"/>
  <c r="AX12" i="1"/>
  <c r="AV24" i="1"/>
  <c r="AV17" i="1"/>
  <c r="AV16" i="1"/>
  <c r="AV15" i="1"/>
  <c r="AV14" i="1"/>
  <c r="AV13" i="1"/>
  <c r="AV12" i="1"/>
  <c r="AT24" i="1"/>
  <c r="AT17" i="1"/>
  <c r="AT16" i="1"/>
  <c r="AT15" i="1"/>
  <c r="AT14" i="1"/>
  <c r="AT13" i="1"/>
  <c r="AT12" i="1"/>
  <c r="AR24" i="1"/>
  <c r="AR17" i="1"/>
  <c r="AR16" i="1"/>
  <c r="AR15" i="1"/>
  <c r="AR14" i="1"/>
  <c r="AR13" i="1"/>
  <c r="AR12" i="1"/>
  <c r="AP24" i="1"/>
  <c r="AP17" i="1"/>
  <c r="AP16" i="1"/>
  <c r="AP15" i="1"/>
  <c r="AP14" i="1"/>
  <c r="AP13" i="1"/>
  <c r="AP12" i="1"/>
  <c r="AN24" i="1"/>
  <c r="AN17" i="1"/>
  <c r="AN16" i="1"/>
  <c r="AN15" i="1"/>
  <c r="AN14" i="1"/>
  <c r="AN13" i="1"/>
  <c r="AN12" i="1"/>
  <c r="AL24" i="1"/>
  <c r="AL17" i="1"/>
  <c r="AL16" i="1"/>
  <c r="AL15" i="1"/>
  <c r="AL14" i="1"/>
  <c r="AL13" i="1"/>
  <c r="AL12" i="1"/>
  <c r="AJ24" i="1"/>
  <c r="AJ17" i="1"/>
  <c r="AJ16" i="1"/>
  <c r="AJ15" i="1"/>
  <c r="AJ14" i="1"/>
  <c r="AJ13" i="1"/>
  <c r="AJ12" i="1"/>
  <c r="AH24" i="1"/>
  <c r="AH17" i="1"/>
  <c r="AH16" i="1"/>
  <c r="AH15" i="1"/>
  <c r="AH14" i="1"/>
  <c r="AH13" i="1"/>
  <c r="AH12" i="1"/>
  <c r="AF24" i="1"/>
  <c r="AF17" i="1"/>
  <c r="AF16" i="1"/>
  <c r="AF15" i="1"/>
  <c r="AF14" i="1"/>
  <c r="AF13" i="1"/>
  <c r="AF12" i="1"/>
  <c r="AD24" i="1"/>
  <c r="AD17" i="1"/>
  <c r="AD16" i="1"/>
  <c r="AD15" i="1"/>
  <c r="AD14" i="1"/>
  <c r="AD13" i="1"/>
  <c r="AD12" i="1"/>
  <c r="AB24" i="1"/>
  <c r="AB17" i="1"/>
  <c r="AB16" i="1"/>
  <c r="AB15" i="1"/>
  <c r="AB14" i="1"/>
  <c r="AB13" i="1"/>
  <c r="AB12" i="1"/>
  <c r="Z24" i="1"/>
  <c r="Z17" i="1"/>
  <c r="Z16" i="1"/>
  <c r="Z15" i="1"/>
  <c r="Z14" i="1"/>
  <c r="Z13" i="1"/>
  <c r="Z12" i="1"/>
  <c r="X17" i="1"/>
  <c r="X16" i="1"/>
  <c r="X15" i="1"/>
  <c r="X14" i="1"/>
  <c r="X13" i="1"/>
  <c r="X12" i="1"/>
  <c r="V17" i="1"/>
  <c r="V16" i="1"/>
  <c r="V15" i="1"/>
  <c r="V14" i="1"/>
  <c r="V13" i="1"/>
  <c r="V12" i="1"/>
  <c r="T17" i="1"/>
  <c r="T16" i="1"/>
  <c r="T15" i="1"/>
  <c r="T14" i="1"/>
  <c r="T13" i="1"/>
  <c r="T12" i="1"/>
  <c r="R17" i="1"/>
  <c r="R16" i="1"/>
  <c r="R15" i="1"/>
  <c r="R14" i="1"/>
  <c r="R13" i="1"/>
  <c r="R12" i="1"/>
  <c r="P17" i="1"/>
  <c r="P16" i="1"/>
  <c r="P15" i="1"/>
  <c r="P14" i="1"/>
  <c r="P13" i="1"/>
  <c r="P12" i="1"/>
  <c r="N17" i="1"/>
  <c r="N16" i="1"/>
  <c r="N15" i="1"/>
  <c r="N14" i="1"/>
  <c r="N13" i="1"/>
  <c r="N12" i="1"/>
  <c r="D17" i="1"/>
  <c r="D16" i="1"/>
  <c r="D15" i="1"/>
  <c r="D14" i="1"/>
  <c r="D13" i="1"/>
  <c r="BD23" i="1"/>
  <c r="AZ27" i="1"/>
  <c r="AH27" i="1"/>
  <c r="AV23" i="1"/>
  <c r="AL27" i="1"/>
  <c r="BH25" i="1"/>
  <c r="AX25" i="1"/>
  <c r="BF25" i="1"/>
  <c r="Z32" i="1"/>
  <c r="Z23" i="1"/>
  <c r="BH33" i="1"/>
  <c r="AF30" i="1"/>
  <c r="AB32" i="1"/>
  <c r="AX23" i="1"/>
  <c r="Z25" i="1"/>
  <c r="AB30" i="1"/>
  <c r="AR25" i="1"/>
  <c r="AL23" i="1"/>
  <c r="AJ27" i="1"/>
  <c r="AD33" i="1"/>
  <c r="AH33" i="1"/>
  <c r="AH32" i="1"/>
  <c r="AP26" i="1"/>
  <c r="Z26" i="1"/>
  <c r="AT23" i="1"/>
  <c r="BH32" i="1"/>
  <c r="BD30" i="1"/>
  <c r="AR23" i="1"/>
  <c r="AZ32" i="1"/>
  <c r="AL30" i="1"/>
  <c r="BB33" i="1"/>
  <c r="AH30" i="1"/>
  <c r="AX27" i="1"/>
  <c r="AH23" i="1"/>
  <c r="AN26" i="1"/>
  <c r="Z30" i="1"/>
  <c r="AT26" i="1"/>
  <c r="AF25" i="1"/>
  <c r="BH30" i="1"/>
  <c r="BF23" i="1"/>
  <c r="BB32" i="1"/>
  <c r="AV32" i="1"/>
  <c r="AN30" i="1"/>
  <c r="BB27" i="1"/>
  <c r="BB23" i="1"/>
  <c r="AB26" i="1"/>
  <c r="AZ26" i="1"/>
  <c r="AF23" i="1"/>
  <c r="BD27" i="1"/>
  <c r="BF30" i="1"/>
  <c r="AZ33" i="1"/>
  <c r="BD25" i="1"/>
  <c r="BD26" i="1"/>
  <c r="AF32" i="1"/>
  <c r="AV33" i="1"/>
  <c r="BB26" i="1"/>
  <c r="AR26" i="1"/>
  <c r="AT25" i="1"/>
  <c r="BD33" i="1"/>
  <c r="AT32" i="1"/>
  <c r="AL25" i="1"/>
  <c r="AJ33" i="1"/>
  <c r="AJ26" i="1"/>
  <c r="AD32" i="1"/>
  <c r="AN33" i="1"/>
  <c r="AX26" i="1"/>
  <c r="AN25" i="1"/>
  <c r="AB23" i="1"/>
  <c r="AZ23" i="1"/>
  <c r="BF33" i="1"/>
  <c r="AN23" i="1"/>
  <c r="Z27" i="1"/>
  <c r="AP33" i="1"/>
  <c r="BF27" i="1"/>
  <c r="AF33" i="1"/>
  <c r="AF27" i="1"/>
  <c r="AD23" i="1"/>
  <c r="AJ25" i="1"/>
  <c r="AN27" i="1"/>
  <c r="AP32" i="1"/>
  <c r="AP27" i="1"/>
  <c r="BB30" i="1"/>
  <c r="AP23" i="1"/>
  <c r="BH23" i="1"/>
  <c r="BH26" i="1"/>
  <c r="AD25" i="1"/>
  <c r="AR27" i="1"/>
  <c r="AZ25" i="1"/>
  <c r="AX33" i="1"/>
  <c r="AB25" i="1"/>
  <c r="BH27" i="1"/>
  <c r="AZ30" i="1"/>
  <c r="AT33" i="1"/>
  <c r="BF26" i="1"/>
  <c r="AN32" i="1"/>
  <c r="AH25" i="1"/>
  <c r="AT30" i="1"/>
  <c r="BF32" i="1"/>
  <c r="BB25" i="1"/>
  <c r="Z33" i="1"/>
  <c r="AV26" i="1"/>
  <c r="AV27" i="1"/>
  <c r="AD30" i="1"/>
  <c r="AJ23" i="1"/>
  <c r="AL32" i="1"/>
  <c r="BD32" i="1"/>
  <c r="AR30" i="1"/>
  <c r="AJ30" i="1"/>
  <c r="AT27" i="1"/>
  <c r="AL33" i="1"/>
  <c r="AJ32" i="1"/>
  <c r="AV30" i="1"/>
  <c r="AF26" i="1"/>
  <c r="AX32" i="1"/>
  <c r="AD26" i="1"/>
  <c r="AV25" i="1"/>
  <c r="AR32" i="1"/>
  <c r="AD27" i="1"/>
  <c r="AH26" i="1"/>
  <c r="AP25" i="1"/>
  <c r="AR33" i="1"/>
  <c r="AX30" i="1"/>
  <c r="AB27" i="1"/>
  <c r="AP30" i="1"/>
  <c r="AL26" i="1"/>
  <c r="AB33" i="1"/>
  <c r="B17" i="1" l="1"/>
  <c r="B16" i="1"/>
  <c r="B15" i="1"/>
  <c r="B14" i="1"/>
  <c r="B13" i="1"/>
  <c r="X24" i="1" l="1"/>
  <c r="V24" i="1"/>
  <c r="T24" i="1"/>
  <c r="R24" i="1"/>
  <c r="P24" i="1"/>
  <c r="N24" i="1"/>
  <c r="L24" i="1"/>
  <c r="J24" i="1"/>
  <c r="H24" i="1"/>
  <c r="F24" i="1"/>
  <c r="D24" i="1"/>
  <c r="X32" i="1"/>
  <c r="V30" i="1"/>
  <c r="L26" i="1"/>
  <c r="L30" i="1"/>
  <c r="X33" i="1"/>
  <c r="L32" i="1"/>
  <c r="P27" i="1"/>
  <c r="L33" i="1"/>
  <c r="T27" i="1"/>
  <c r="L25" i="1"/>
  <c r="V27" i="1"/>
  <c r="J30" i="1"/>
  <c r="T33" i="1"/>
  <c r="J32" i="1"/>
  <c r="X26" i="1"/>
  <c r="L27" i="1"/>
  <c r="R26" i="1"/>
  <c r="N32" i="1"/>
  <c r="P32" i="1"/>
  <c r="J26" i="1"/>
  <c r="V26" i="1"/>
  <c r="P26" i="1"/>
  <c r="X25" i="1"/>
  <c r="N30" i="1"/>
  <c r="R27" i="1"/>
  <c r="P30" i="1"/>
  <c r="P33" i="1"/>
  <c r="R30" i="1"/>
  <c r="R33" i="1"/>
  <c r="V32" i="1"/>
  <c r="N33" i="1"/>
  <c r="J25" i="1"/>
  <c r="T30" i="1"/>
  <c r="T25" i="1"/>
  <c r="X30" i="1"/>
  <c r="R25" i="1"/>
  <c r="N27" i="1"/>
  <c r="R32" i="1"/>
  <c r="X27" i="1"/>
  <c r="P25" i="1"/>
  <c r="J27" i="1"/>
  <c r="V25" i="1"/>
  <c r="T26" i="1"/>
  <c r="J33" i="1"/>
  <c r="N25" i="1"/>
  <c r="V33" i="1"/>
  <c r="T32" i="1"/>
  <c r="N26" i="1"/>
  <c r="H31" i="1"/>
  <c r="H26" i="1"/>
  <c r="H32" i="1"/>
  <c r="H33" i="1"/>
  <c r="H30" i="1"/>
  <c r="H25" i="1"/>
  <c r="F33" i="1"/>
  <c r="F25" i="1"/>
  <c r="F31" i="1"/>
  <c r="F32" i="1"/>
  <c r="F30" i="1"/>
  <c r="D33" i="1"/>
  <c r="D30" i="1"/>
  <c r="D25" i="1"/>
  <c r="D32" i="1"/>
  <c r="D31" i="1"/>
  <c r="F18" i="1" l="1"/>
  <c r="H18" i="1" s="1"/>
  <c r="J18" i="1" s="1"/>
  <c r="L18" i="1" s="1"/>
  <c r="N18" i="1" s="1"/>
  <c r="P18" i="1" s="1"/>
  <c r="R18" i="1" s="1"/>
  <c r="T18" i="1" s="1"/>
  <c r="V18" i="1" s="1"/>
  <c r="X18" i="1" s="1"/>
  <c r="Z18" i="1" s="1"/>
  <c r="AB18" i="1" s="1"/>
  <c r="AD18" i="1" s="1"/>
  <c r="AF18" i="1" s="1"/>
  <c r="AH18" i="1" s="1"/>
  <c r="AJ18" i="1" s="1"/>
  <c r="AL18" i="1" s="1"/>
  <c r="AN18" i="1" s="1"/>
  <c r="AP18" i="1" s="1"/>
  <c r="AR18" i="1" s="1"/>
  <c r="AT18" i="1" s="1"/>
  <c r="AV18" i="1" s="1"/>
  <c r="AX18" i="1" s="1"/>
  <c r="AZ18" i="1" s="1"/>
  <c r="BB18" i="1" s="1"/>
  <c r="BD18" i="1" s="1"/>
  <c r="BF18" i="1" s="1"/>
  <c r="BH18" i="1" s="1"/>
  <c r="B32" i="1"/>
  <c r="B30" i="1"/>
  <c r="B25" i="1"/>
  <c r="B3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Edebro Daniel (GN-TPP)</author>
  </authors>
  <commentList>
    <comment ref="A19" authorId="0" shapeId="0" xr:uid="{00000000-0006-0000-0000-000001000000}">
      <text>
        <r>
          <rPr>
            <sz val="12"/>
            <color indexed="81"/>
            <rFont val="Tahoma"/>
            <family val="2"/>
          </rPr>
          <t>Writing text here lights upp every file path
Example:
"Case1" assumes filenames "Case1\Case1.XXX"
"Case1\Case1_mod" assumes filenames "Case1\Case1_mod.XXX"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<sst xmlns="http://schemas.openxmlformats.org/spreadsheetml/2006/main" count="60" uniqueCount="51">
  <si>
    <t>#</t>
  </si>
  <si>
    <t>Case</t>
  </si>
  <si>
    <t>.i-file</t>
  </si>
  <si>
    <t>.o-file</t>
  </si>
  <si>
    <t>.rst-file</t>
  </si>
  <si>
    <t>.dmx-file</t>
  </si>
  <si>
    <t>.strip-file</t>
  </si>
  <si>
    <t>.str-file 1</t>
  </si>
  <si>
    <t>.ps-file 1</t>
  </si>
  <si>
    <t>.pdf-file 1</t>
  </si>
  <si>
    <t>matlab.exe =</t>
  </si>
  <si>
    <t xml:space="preserve">Param file </t>
  </si>
  <si>
    <t>Stripfile.strip</t>
  </si>
  <si>
    <t>C:\Program Files\MATLAB\R2018b\bin\matlab.exe</t>
  </si>
  <si>
    <t>r2dmx.exe =</t>
  </si>
  <si>
    <t>C:\Users\dero\AptPlot\bin\r2dmx.exe</t>
  </si>
  <si>
    <t>.strip-file =</t>
  </si>
  <si>
    <t>Parameter file =</t>
  </si>
  <si>
    <t>Global strip-request files</t>
  </si>
  <si>
    <t>Paths</t>
  </si>
  <si>
    <t>relap5.exe =</t>
  </si>
  <si>
    <t>Actions</t>
  </si>
  <si>
    <t>CurrentSheet =</t>
  </si>
  <si>
    <t>Debug =</t>
  </si>
  <si>
    <t>(If 1 cmd window will stay open)</t>
  </si>
  <si>
    <t>THistPlot.m =</t>
  </si>
  <si>
    <t>C:\MyLocal\Program\Matlabscript\THistPlot\THistPlot.m</t>
  </si>
  <si>
    <t>C:\MyLocal\Program\gs\gs9.10\bin\gswin64c.exe</t>
  </si>
  <si>
    <t>Title =</t>
  </si>
  <si>
    <r>
      <t>[t1,t2]</t>
    </r>
    <r>
      <rPr>
        <b/>
        <vertAlign val="subscript"/>
        <sz val="14"/>
        <color theme="1"/>
        <rFont val="Calibri"/>
        <family val="2"/>
        <scheme val="minor"/>
      </rPr>
      <t>plots</t>
    </r>
    <r>
      <rPr>
        <b/>
        <sz val="14"/>
        <color theme="1"/>
        <rFont val="Calibri"/>
        <family val="2"/>
        <scheme val="minor"/>
      </rPr>
      <t xml:space="preserve"> =</t>
    </r>
  </si>
  <si>
    <r>
      <t>[t1,t2]</t>
    </r>
    <r>
      <rPr>
        <b/>
        <vertAlign val="subscript"/>
        <sz val="14"/>
        <color theme="1"/>
        <rFont val="Calibri"/>
        <family val="2"/>
        <scheme val="minor"/>
      </rPr>
      <t>force</t>
    </r>
    <r>
      <rPr>
        <b/>
        <sz val="14"/>
        <color theme="1"/>
        <rFont val="Calibri"/>
        <family val="2"/>
        <scheme val="minor"/>
      </rPr>
      <t xml:space="preserve"> =</t>
    </r>
  </si>
  <si>
    <t>"Testcases"</t>
  </si>
  <si>
    <t>gs.exe =</t>
  </si>
  <si>
    <t>Aptplot.exe =</t>
  </si>
  <si>
    <t>C:\Users\dero\AptPlot\bin\AptPlot.exe</t>
  </si>
  <si>
    <t>https://github.com/danneedebro/R5Post</t>
  </si>
  <si>
    <t>OK</t>
  </si>
  <si>
    <t>.csv file</t>
  </si>
  <si>
    <t>str2csv =</t>
  </si>
  <si>
    <t>C:\MyLocal\Program\str2csv\str2csv.exe</t>
  </si>
  <si>
    <t>C:\MyLocal\Program\RELAP5\relap5mod3.3patch03\relap5.exe</t>
  </si>
  <si>
    <t>[C:\DERO_local\Beräkningar\RHSP\RHSP\R5Post_v1.0.0-beta.xlsm]'R5Post main'</t>
  </si>
  <si>
    <t>Grund0.rst</t>
  </si>
  <si>
    <t>BreakFlow</t>
  </si>
  <si>
    <t>Base/Restart .rst</t>
  </si>
  <si>
    <t>Base</t>
  </si>
  <si>
    <t>Basfall</t>
  </si>
  <si>
    <t>ThermalExpansion</t>
  </si>
  <si>
    <t>Rundpumpning med stängd ventil</t>
  </si>
  <si>
    <t>Brottflöde 3/4-tum ledning på överkopplingsledning</t>
  </si>
  <si>
    <r>
      <t xml:space="preserve">R5Post </t>
    </r>
    <r>
      <rPr>
        <sz val="22"/>
        <color theme="1"/>
        <rFont val="Calibri"/>
        <family val="2"/>
        <scheme val="minor"/>
      </rPr>
      <t>v1.0.0-beta.6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</si>
</sst>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kr&quot;;[Red]\-#,##0.00\ &quot;kr&quot;"/>
    <numFmt numFmtId="164" formatCode="0.000"/>
    <numFmt numFmtId="165" formatCode="yyyy/mm/dd\ hh:mm;@"/>
  </numFmts>
  <fonts count="21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3F3F76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color rgb="FF3F3F76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b/>
      <vertAlign val="subscript"/>
      <sz val="14"/>
      <color theme="1"/>
      <name val="Calibri"/>
      <family val="2"/>
      <scheme val="minor"/>
    </font>
    <font>
      <i/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1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3" fillId="0" borderId="0" applyNumberFormat="0" applyFill="0" applyBorder="0" applyAlignment="0" applyProtection="0"/>
  </cellStyleXfs>
  <cellXfs count="63">
    <xf numFmtId="0" fontId="0" fillId="0" borderId="0" xfId="0"/>
    <xf numFmtId="0" fontId="0" fillId="0" borderId="0" xfId="0" applyAlignment="1">
      <alignment horizontal="right"/>
    </xf>
    <xf numFmtId="0" fontId="3" fillId="0" borderId="0" xfId="2"/>
    <xf numFmtId="0" fontId="4" fillId="3" borderId="2" xfId="0" applyFont="1" applyFill="1" applyBorder="1"/>
    <xf numFmtId="0" fontId="2" fillId="0" borderId="0" xfId="0" applyFont="1"/>
    <xf numFmtId="0" fontId="0" fillId="0" borderId="3" xfId="0" applyFill="1" applyBorder="1"/>
    <xf numFmtId="0" fontId="3" fillId="0" borderId="3" xfId="2" applyFill="1" applyBorder="1"/>
    <xf numFmtId="0" fontId="3" fillId="0" borderId="5" xfId="2" applyFill="1" applyBorder="1"/>
    <xf numFmtId="0" fontId="3" fillId="0" borderId="0" xfId="2" applyFill="1"/>
    <xf numFmtId="8" fontId="0" fillId="0" borderId="0" xfId="0" applyNumberFormat="1"/>
    <xf numFmtId="0" fontId="7" fillId="0" borderId="4" xfId="0" applyFont="1" applyFill="1" applyBorder="1" applyAlignment="1">
      <alignment horizontal="center"/>
    </xf>
    <xf numFmtId="22" fontId="7" fillId="0" borderId="4" xfId="0" applyNumberFormat="1" applyFont="1" applyFill="1" applyBorder="1" applyAlignment="1">
      <alignment horizontal="center"/>
    </xf>
    <xf numFmtId="0" fontId="5" fillId="4" borderId="2" xfId="0" applyFont="1" applyFill="1" applyBorder="1" applyAlignment="1">
      <alignment horizontal="right"/>
    </xf>
    <xf numFmtId="0" fontId="5" fillId="4" borderId="9" xfId="0" applyFont="1" applyFill="1" applyBorder="1" applyAlignment="1">
      <alignment horizontal="right"/>
    </xf>
    <xf numFmtId="0" fontId="5" fillId="4" borderId="10" xfId="0" applyFont="1" applyFill="1" applyBorder="1" applyAlignment="1">
      <alignment horizontal="right"/>
    </xf>
    <xf numFmtId="22" fontId="7" fillId="0" borderId="6" xfId="0" applyNumberFormat="1" applyFont="1" applyFill="1" applyBorder="1" applyAlignment="1">
      <alignment horizontal="center"/>
    </xf>
    <xf numFmtId="0" fontId="9" fillId="0" borderId="0" xfId="0" applyFont="1"/>
    <xf numFmtId="0" fontId="10" fillId="3" borderId="3" xfId="0" applyFont="1" applyFill="1" applyBorder="1" applyAlignment="1">
      <alignment horizontal="right"/>
    </xf>
    <xf numFmtId="0" fontId="10" fillId="3" borderId="5" xfId="0" applyFont="1" applyFill="1" applyBorder="1" applyAlignment="1">
      <alignment horizontal="right"/>
    </xf>
    <xf numFmtId="0" fontId="12" fillId="3" borderId="11" xfId="0" applyFont="1" applyFill="1" applyBorder="1"/>
    <xf numFmtId="0" fontId="0" fillId="3" borderId="3" xfId="0" applyFill="1" applyBorder="1" applyAlignment="1">
      <alignment horizontal="right"/>
    </xf>
    <xf numFmtId="0" fontId="0" fillId="3" borderId="5" xfId="0" applyFill="1" applyBorder="1" applyAlignment="1">
      <alignment horizontal="right"/>
    </xf>
    <xf numFmtId="0" fontId="0" fillId="3" borderId="6" xfId="0" applyFill="1" applyBorder="1" applyAlignment="1">
      <alignment horizontal="center"/>
    </xf>
    <xf numFmtId="22" fontId="7" fillId="3" borderId="4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0" fontId="14" fillId="3" borderId="4" xfId="0" applyFont="1" applyFill="1" applyBorder="1" applyAlignment="1">
      <alignment horizontal="center"/>
    </xf>
    <xf numFmtId="0" fontId="3" fillId="3" borderId="0" xfId="2" applyFill="1" applyBorder="1"/>
    <xf numFmtId="165" fontId="0" fillId="0" borderId="0" xfId="0" applyNumberFormat="1"/>
    <xf numFmtId="164" fontId="1" fillId="2" borderId="3" xfId="1" applyNumberFormat="1" applyBorder="1" applyAlignment="1">
      <alignment horizontal="center"/>
    </xf>
    <xf numFmtId="164" fontId="1" fillId="2" borderId="5" xfId="1" applyNumberFormat="1" applyBorder="1" applyAlignment="1">
      <alignment horizontal="center"/>
    </xf>
    <xf numFmtId="0" fontId="0" fillId="0" borderId="0" xfId="0" applyFill="1"/>
    <xf numFmtId="164" fontId="1" fillId="2" borderId="4" xfId="1" applyNumberFormat="1" applyBorder="1" applyAlignment="1">
      <alignment horizontal="center"/>
    </xf>
    <xf numFmtId="164" fontId="1" fillId="2" borderId="6" xfId="1" applyNumberFormat="1" applyBorder="1" applyAlignment="1">
      <alignment horizontal="center"/>
    </xf>
    <xf numFmtId="0" fontId="5" fillId="4" borderId="9" xfId="0" applyFont="1" applyFill="1" applyBorder="1" applyAlignment="1">
      <alignment horizontal="right" vertical="top"/>
    </xf>
    <xf numFmtId="0" fontId="2" fillId="3" borderId="2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3" fillId="3" borderId="3" xfId="2" applyFill="1" applyBorder="1" applyAlignment="1">
      <alignment horizontal="center"/>
    </xf>
    <xf numFmtId="0" fontId="3" fillId="3" borderId="4" xfId="2" applyFill="1" applyBorder="1" applyAlignment="1">
      <alignment horizontal="center"/>
    </xf>
    <xf numFmtId="0" fontId="3" fillId="3" borderId="7" xfId="2" applyFill="1" applyBorder="1" applyAlignment="1">
      <alignment horizontal="center"/>
    </xf>
    <xf numFmtId="0" fontId="3" fillId="3" borderId="8" xfId="2" applyFill="1" applyBorder="1" applyAlignment="1">
      <alignment horizontal="center"/>
    </xf>
    <xf numFmtId="0" fontId="3" fillId="3" borderId="5" xfId="2" applyFill="1" applyBorder="1" applyAlignment="1">
      <alignment horizontal="center"/>
    </xf>
    <xf numFmtId="0" fontId="3" fillId="3" borderId="6" xfId="2" applyFill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8" xfId="1" applyBorder="1" applyAlignment="1"/>
    <xf numFmtId="0" fontId="6" fillId="2" borderId="3" xfId="1" applyFont="1" applyBorder="1" applyAlignment="1">
      <alignment horizontal="center"/>
    </xf>
    <xf numFmtId="0" fontId="6" fillId="2" borderId="4" xfId="1" applyFont="1" applyBorder="1" applyAlignment="1"/>
    <xf numFmtId="0" fontId="18" fillId="2" borderId="3" xfId="1" applyFont="1" applyBorder="1" applyAlignment="1">
      <alignment horizontal="center" vertical="top" wrapText="1"/>
    </xf>
    <xf numFmtId="0" fontId="18" fillId="2" borderId="4" xfId="1" applyFont="1" applyBorder="1" applyAlignment="1">
      <alignment horizontal="center" vertical="top" wrapText="1"/>
    </xf>
    <xf numFmtId="0" fontId="13" fillId="3" borderId="7" xfId="0" applyFont="1" applyFill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0" fillId="3" borderId="0" xfId="0" applyFill="1" applyBorder="1" applyAlignment="1"/>
    <xf numFmtId="0" fontId="0" fillId="3" borderId="11" xfId="0" applyFill="1" applyBorder="1" applyAlignment="1"/>
    <xf numFmtId="0" fontId="0" fillId="0" borderId="12" xfId="0" applyBorder="1" applyAlignment="1">
      <alignment horizontal="center"/>
    </xf>
    <xf numFmtId="0" fontId="0" fillId="0" borderId="8" xfId="0" applyBorder="1" applyAlignment="1">
      <alignment horizontal="center"/>
    </xf>
    <xf numFmtId="164" fontId="1" fillId="2" borderId="3" xfId="1" applyNumberFormat="1" applyBorder="1" applyAlignment="1">
      <alignment horizontal="center"/>
    </xf>
    <xf numFmtId="164" fontId="1" fillId="2" borderId="4" xfId="1" applyNumberFormat="1" applyBorder="1" applyAlignment="1"/>
    <xf numFmtId="164" fontId="1" fillId="2" borderId="5" xfId="1" applyNumberFormat="1" applyBorder="1" applyAlignment="1">
      <alignment horizontal="center"/>
    </xf>
    <xf numFmtId="164" fontId="1" fillId="2" borderId="6" xfId="1" applyNumberFormat="1" applyBorder="1" applyAlignment="1"/>
    <xf numFmtId="0" fontId="8" fillId="2" borderId="3" xfId="1" applyFont="1" applyBorder="1" applyAlignment="1">
      <alignment horizontal="center"/>
    </xf>
    <xf numFmtId="0" fontId="8" fillId="2" borderId="4" xfId="1" applyFont="1" applyBorder="1" applyAlignment="1">
      <alignment horizontal="center"/>
    </xf>
    <xf numFmtId="0" fontId="20" fillId="0" borderId="3" xfId="2" applyFont="1" applyFill="1" applyBorder="1"/>
  </cellXfs>
  <cellStyles count="3">
    <cellStyle name="Hyperlänk" xfId="2" builtinId="8"/>
    <cellStyle name="Indata" xfId="1" builtinId="20"/>
    <cellStyle name="Normal" xfId="0" builtinId="0"/>
  </cellStyles>
  <dxfs count="105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238125</xdr:colOff>
          <xdr:row>7</xdr:row>
          <xdr:rowOff>123825</xdr:rowOff>
        </xdr:from>
        <xdr:to>
          <xdr:col>4</xdr:col>
          <xdr:colOff>590550</xdr:colOff>
          <xdr:row>10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Refresh timestamps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638175</xdr:colOff>
          <xdr:row>1</xdr:row>
          <xdr:rowOff>76200</xdr:rowOff>
        </xdr:from>
        <xdr:to>
          <xdr:col>14</xdr:col>
          <xdr:colOff>781050</xdr:colOff>
          <xdr:row>5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Delete non-tracked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1</xdr:row>
          <xdr:rowOff>19050</xdr:rowOff>
        </xdr:from>
        <xdr:to>
          <xdr:col>11</xdr:col>
          <xdr:colOff>990600</xdr:colOff>
          <xdr:row>4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Set paths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24</xdr:col>
      <xdr:colOff>306885</xdr:colOff>
      <xdr:row>41</xdr:row>
      <xdr:rowOff>86827</xdr:rowOff>
    </xdr:to>
    <xdr:grpSp>
      <xdr:nvGrpSpPr>
        <xdr:cNvPr id="21" name="Grupp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pSpPr/>
      </xdr:nvGrpSpPr>
      <xdr:grpSpPr>
        <a:xfrm>
          <a:off x="0" y="0"/>
          <a:ext cx="14937285" cy="7897327"/>
          <a:chOff x="0" y="0"/>
          <a:chExt cx="14937285" cy="7897327"/>
        </a:xfrm>
      </xdr:grpSpPr>
      <xdr:pic>
        <xdr:nvPicPr>
          <xdr:cNvPr id="13" name="Bildobjekt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0"/>
            <a:ext cx="14937285" cy="7897327"/>
          </a:xfrm>
          <a:prstGeom prst="rect">
            <a:avLst/>
          </a:prstGeom>
        </xdr:spPr>
      </xdr:pic>
      <xdr:sp macro="" textlink="">
        <xdr:nvSpPr>
          <xdr:cNvPr id="4" name="Pil: vänster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 rot="1239559">
            <a:off x="9700686" y="1562544"/>
            <a:ext cx="6693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3" name="textruta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10144125" y="1543050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Adjust paths</a:t>
            </a:r>
          </a:p>
        </xdr:txBody>
      </xdr:sp>
      <xdr:sp macro="" textlink="">
        <xdr:nvSpPr>
          <xdr:cNvPr id="5" name="Pil: vänster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 rot="18546929">
            <a:off x="2438418" y="1802866"/>
            <a:ext cx="13870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6" name="textruta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3124200" y="1057275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Actions</a:t>
            </a:r>
          </a:p>
        </xdr:txBody>
      </xdr:sp>
      <xdr:pic>
        <xdr:nvPicPr>
          <xdr:cNvPr id="9" name="Bildobjekt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9515475" y="3057525"/>
            <a:ext cx="1962424" cy="4324954"/>
          </a:xfrm>
          <a:prstGeom prst="rect">
            <a:avLst/>
          </a:prstGeom>
          <a:ln>
            <a:solidFill>
              <a:sysClr val="windowText" lastClr="000000"/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  <xdr:sp macro="" textlink="">
        <xdr:nvSpPr>
          <xdr:cNvPr id="10" name="Pil: nedåtböjd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9248775" y="3019425"/>
            <a:ext cx="704850" cy="371475"/>
          </a:xfrm>
          <a:prstGeom prst="curvedDown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sv-SE" sz="1100">
              <a:solidFill>
                <a:schemeClr val="tx1"/>
              </a:solidFill>
            </a:endParaRPr>
          </a:p>
        </xdr:txBody>
      </xdr:sp>
      <xdr:sp macro="" textlink="">
        <xdr:nvSpPr>
          <xdr:cNvPr id="11" name="textruta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9105900" y="2438400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Writing</a:t>
            </a:r>
            <a:r>
              <a:rPr lang="sv-SE" sz="1100" baseline="0"/>
              <a:t> "Case4" lights up everything</a:t>
            </a:r>
            <a:endParaRPr lang="sv-SE" sz="1100"/>
          </a:p>
        </xdr:txBody>
      </xdr:sp>
      <xdr:sp macro="" textlink="">
        <xdr:nvSpPr>
          <xdr:cNvPr id="15" name="Pil: vänster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/>
        </xdr:nvSpPr>
        <xdr:spPr>
          <a:xfrm rot="7666775">
            <a:off x="4505343" y="6279616"/>
            <a:ext cx="13870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4" name="textruta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3362325" y="6696075"/>
            <a:ext cx="1485900" cy="9239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Red text indicates that derived files are older than its parent</a:t>
            </a:r>
          </a:p>
        </xdr:txBody>
      </xdr:sp>
      <xdr:sp macro="" textlink="">
        <xdr:nvSpPr>
          <xdr:cNvPr id="16" name="Pil: vänster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 rot="20065150">
            <a:off x="1254131" y="887570"/>
            <a:ext cx="549920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2" name="textruta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 txBox="1"/>
        </xdr:nvSpPr>
        <xdr:spPr>
          <a:xfrm>
            <a:off x="1609725" y="685799"/>
            <a:ext cx="1304925" cy="8096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Refresh all timestamps (press frequently to check status)</a:t>
            </a:r>
          </a:p>
        </xdr:txBody>
      </xdr:sp>
      <xdr:sp macro="" textlink="">
        <xdr:nvSpPr>
          <xdr:cNvPr id="18" name="Pil: vänster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 rot="21262674">
            <a:off x="11943610" y="819198"/>
            <a:ext cx="855727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7" name="textruta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 txBox="1"/>
        </xdr:nvSpPr>
        <xdr:spPr>
          <a:xfrm>
            <a:off x="12696825" y="742950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Deletes all files that aren't listed below</a:t>
            </a:r>
          </a:p>
        </xdr:txBody>
      </xdr:sp>
      <xdr:sp macro="" textlink="">
        <xdr:nvSpPr>
          <xdr:cNvPr id="20" name="Pil: vänster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 rot="18148402">
            <a:off x="4171967" y="2860140"/>
            <a:ext cx="13870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9" name="textruta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 txBox="1"/>
        </xdr:nvSpPr>
        <xdr:spPr>
          <a:xfrm>
            <a:off x="4676775" y="1895476"/>
            <a:ext cx="1485900" cy="704849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Use this text format for modifications in same folder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99"/>
        </a:solidFill>
        <a:ln w="12700">
          <a:solidFill>
            <a:sysClr val="windowText" lastClr="000000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s://github.com/danneedebro/R5Post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../../../Users/dero/AppData/Roaming/Microsoft/Excel/Stripfile.strip" TargetMode="External"/><Relationship Id="rId1" Type="http://schemas.openxmlformats.org/officeDocument/2006/relationships/hyperlink" Target="../../../Users/dero/AppData/Roaming/Microsoft/Excel/Stripfile.strip.txt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10" Type="http://schemas.openxmlformats.org/officeDocument/2006/relationships/comments" Target="../comments1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BI44"/>
  <sheetViews>
    <sheetView tabSelected="1" zoomScale="85" zoomScaleNormal="85" workbookViewId="0">
      <selection activeCell="A4" sqref="A4"/>
    </sheetView>
  </sheetViews>
  <sheetFormatPr defaultRowHeight="15" x14ac:dyDescent="0.25"/>
  <cols>
    <col min="1" max="1" width="19" customWidth="1"/>
    <col min="2" max="2" width="19.85546875" bestFit="1" customWidth="1"/>
    <col min="3" max="3" width="13" customWidth="1"/>
    <col min="4" max="4" width="16.85546875" customWidth="1"/>
    <col min="5" max="5" width="13" customWidth="1"/>
    <col min="6" max="6" width="16.7109375" customWidth="1"/>
    <col min="7" max="7" width="13" customWidth="1"/>
    <col min="8" max="8" width="16.7109375" customWidth="1"/>
    <col min="9" max="9" width="13" customWidth="1"/>
    <col min="10" max="10" width="16.7109375" customWidth="1"/>
    <col min="11" max="11" width="13" customWidth="1"/>
    <col min="12" max="12" width="16.7109375" customWidth="1"/>
    <col min="13" max="13" width="13" customWidth="1"/>
    <col min="14" max="14" width="16.7109375" customWidth="1"/>
    <col min="15" max="15" width="13" customWidth="1"/>
    <col min="16" max="16" width="16.7109375" customWidth="1"/>
    <col min="17" max="17" width="13" customWidth="1"/>
    <col min="18" max="18" width="16.7109375" customWidth="1"/>
    <col min="19" max="19" width="13" customWidth="1"/>
    <col min="20" max="20" width="16.7109375" customWidth="1"/>
    <col min="21" max="21" width="13" customWidth="1"/>
    <col min="22" max="22" width="16.7109375" customWidth="1"/>
    <col min="23" max="23" width="13" customWidth="1"/>
    <col min="24" max="24" width="16.7109375" customWidth="1"/>
    <col min="25" max="25" width="13" customWidth="1"/>
  </cols>
  <sheetData>
    <row r="1" spans="1:61" ht="46.5" x14ac:dyDescent="0.7">
      <c r="A1" s="16" t="s">
        <v>50</v>
      </c>
      <c r="D1" s="1" t="s">
        <v>22</v>
      </c>
      <c r="E1" t="s">
        <v>41</v>
      </c>
    </row>
    <row r="2" spans="1:61" ht="15.75" x14ac:dyDescent="0.25">
      <c r="A2" s="2" t="s">
        <v>35</v>
      </c>
      <c r="F2" s="49" t="s">
        <v>19</v>
      </c>
      <c r="G2" s="50"/>
      <c r="H2" s="50"/>
      <c r="I2" s="50"/>
      <c r="J2" s="50"/>
      <c r="K2" s="51"/>
    </row>
    <row r="3" spans="1:61" x14ac:dyDescent="0.25">
      <c r="F3" s="20" t="s">
        <v>20</v>
      </c>
      <c r="G3" s="52" t="s">
        <v>40</v>
      </c>
      <c r="H3" s="52"/>
      <c r="I3" s="52"/>
      <c r="J3" s="52"/>
      <c r="K3" s="25" t="s">
        <v>36</v>
      </c>
    </row>
    <row r="4" spans="1:61" x14ac:dyDescent="0.25">
      <c r="C4" s="2"/>
      <c r="F4" s="20" t="s">
        <v>10</v>
      </c>
      <c r="G4" s="52" t="s">
        <v>13</v>
      </c>
      <c r="H4" s="52"/>
      <c r="I4" s="52"/>
      <c r="J4" s="52"/>
      <c r="K4" s="25" t="s">
        <v>36</v>
      </c>
    </row>
    <row r="5" spans="1:61" x14ac:dyDescent="0.25">
      <c r="F5" s="20" t="s">
        <v>25</v>
      </c>
      <c r="G5" s="52" t="s">
        <v>26</v>
      </c>
      <c r="H5" s="52"/>
      <c r="I5" s="52"/>
      <c r="J5" s="52"/>
      <c r="K5" s="25" t="s">
        <v>36</v>
      </c>
    </row>
    <row r="6" spans="1:61" x14ac:dyDescent="0.25">
      <c r="F6" s="20" t="s">
        <v>14</v>
      </c>
      <c r="G6" s="52" t="s">
        <v>15</v>
      </c>
      <c r="H6" s="52"/>
      <c r="I6" s="52"/>
      <c r="J6" s="52"/>
      <c r="K6" s="25" t="s">
        <v>36</v>
      </c>
    </row>
    <row r="7" spans="1:61" x14ac:dyDescent="0.25">
      <c r="A7" s="1" t="s">
        <v>23</v>
      </c>
      <c r="B7">
        <v>0</v>
      </c>
      <c r="C7" t="s">
        <v>24</v>
      </c>
      <c r="F7" s="20" t="s">
        <v>32</v>
      </c>
      <c r="G7" s="52" t="s">
        <v>27</v>
      </c>
      <c r="H7" s="52"/>
      <c r="I7" s="52"/>
      <c r="J7" s="52"/>
      <c r="K7" s="25" t="s">
        <v>36</v>
      </c>
    </row>
    <row r="8" spans="1:61" ht="15.75" x14ac:dyDescent="0.25">
      <c r="A8" s="49" t="s">
        <v>18</v>
      </c>
      <c r="B8" s="54"/>
      <c r="C8" s="55"/>
      <c r="F8" s="20" t="s">
        <v>33</v>
      </c>
      <c r="G8" s="52" t="s">
        <v>34</v>
      </c>
      <c r="H8" s="52"/>
      <c r="I8" s="52"/>
      <c r="J8" s="52"/>
      <c r="K8" s="25" t="s">
        <v>36</v>
      </c>
    </row>
    <row r="9" spans="1:61" ht="15.75" x14ac:dyDescent="0.25">
      <c r="A9" s="17" t="s">
        <v>16</v>
      </c>
      <c r="B9" s="26" t="s">
        <v>12</v>
      </c>
      <c r="C9" s="23">
        <v>43741.415590277778</v>
      </c>
      <c r="F9" s="20" t="s">
        <v>38</v>
      </c>
      <c r="G9" s="52" t="s">
        <v>39</v>
      </c>
      <c r="H9" s="52"/>
      <c r="I9" s="52"/>
      <c r="J9" s="52"/>
      <c r="K9" s="25" t="s">
        <v>36</v>
      </c>
    </row>
    <row r="10" spans="1:61" ht="15.75" x14ac:dyDescent="0.25">
      <c r="A10" s="17" t="s">
        <v>17</v>
      </c>
      <c r="B10" s="26" t="s">
        <v>12</v>
      </c>
      <c r="C10" s="23">
        <v>43741.415590277778</v>
      </c>
      <c r="D10" s="2"/>
      <c r="F10" s="21"/>
      <c r="G10" s="53"/>
      <c r="H10" s="53"/>
      <c r="I10" s="53"/>
      <c r="J10" s="53"/>
      <c r="K10" s="22"/>
    </row>
    <row r="11" spans="1:61" ht="15.75" x14ac:dyDescent="0.25">
      <c r="A11" s="18"/>
      <c r="B11" s="19"/>
      <c r="C11" s="24"/>
    </row>
    <row r="12" spans="1:61" ht="15.75" customHeight="1" x14ac:dyDescent="0.25">
      <c r="A12" s="34" t="s">
        <v>21</v>
      </c>
      <c r="B12" s="39" t="str">
        <f ca="1">IF(B$19="","",HYPERLINK(CONCATENATE(E1,"!",CELL("adress")),"(Calc)"))</f>
        <v>(Calc)</v>
      </c>
      <c r="C12" s="40"/>
      <c r="D12" s="39" t="str">
        <f>IF(D$19="","","(Calc)")</f>
        <v>(Calc)</v>
      </c>
      <c r="E12" s="40"/>
      <c r="F12" s="39" t="str">
        <f>IF(F$19="","","(Calc)")</f>
        <v>(Calc)</v>
      </c>
      <c r="G12" s="40"/>
      <c r="H12" s="39" t="str">
        <f>IF(H$19="","","(Calc)")</f>
        <v/>
      </c>
      <c r="I12" s="40"/>
      <c r="J12" s="39" t="str">
        <f>IF(J$19="","","(Calc)")</f>
        <v/>
      </c>
      <c r="K12" s="40"/>
      <c r="L12" s="39" t="str">
        <f>IF(L$19="","","(Calc)")</f>
        <v/>
      </c>
      <c r="M12" s="40"/>
      <c r="N12" s="39" t="str">
        <f>IF(N$19="","","(Calc)")</f>
        <v/>
      </c>
      <c r="O12" s="40"/>
      <c r="P12" s="39" t="str">
        <f>IF(P$19="","","(Calc)")</f>
        <v/>
      </c>
      <c r="Q12" s="40"/>
      <c r="R12" s="39" t="str">
        <f>IF(R$19="","","(Calc)")</f>
        <v/>
      </c>
      <c r="S12" s="40"/>
      <c r="T12" s="39" t="str">
        <f>IF(T$19="","","(Calc)")</f>
        <v/>
      </c>
      <c r="U12" s="40"/>
      <c r="V12" s="39" t="str">
        <f>IF(V$19="","","(Calc)")</f>
        <v/>
      </c>
      <c r="W12" s="40"/>
      <c r="X12" s="39" t="str">
        <f>IF(X$19="","","(Calc)")</f>
        <v/>
      </c>
      <c r="Y12" s="40"/>
      <c r="Z12" s="39" t="str">
        <f>IF(Z$19="","","(Calc)")</f>
        <v/>
      </c>
      <c r="AA12" s="40"/>
      <c r="AB12" s="39" t="str">
        <f>IF(AB$19="","","(Calc)")</f>
        <v/>
      </c>
      <c r="AC12" s="40"/>
      <c r="AD12" s="39" t="str">
        <f>IF(AD$19="","","(Calc)")</f>
        <v/>
      </c>
      <c r="AE12" s="40"/>
      <c r="AF12" s="39" t="str">
        <f>IF(AF$19="","","(Calc)")</f>
        <v/>
      </c>
      <c r="AG12" s="40"/>
      <c r="AH12" s="39" t="str">
        <f>IF(AH$19="","","(Calc)")</f>
        <v/>
      </c>
      <c r="AI12" s="40"/>
      <c r="AJ12" s="39" t="str">
        <f>IF(AJ$19="","","(Calc)")</f>
        <v/>
      </c>
      <c r="AK12" s="40"/>
      <c r="AL12" s="39" t="str">
        <f>IF(AL$19="","","(Calc)")</f>
        <v/>
      </c>
      <c r="AM12" s="40"/>
      <c r="AN12" s="39" t="str">
        <f>IF(AN$19="","","(Calc)")</f>
        <v/>
      </c>
      <c r="AO12" s="40"/>
      <c r="AP12" s="39" t="str">
        <f>IF(AP$19="","","(Calc)")</f>
        <v/>
      </c>
      <c r="AQ12" s="40"/>
      <c r="AR12" s="39" t="str">
        <f>IF(AR$19="","","(Calc)")</f>
        <v/>
      </c>
      <c r="AS12" s="40"/>
      <c r="AT12" s="39" t="str">
        <f>IF(AT$19="","","(Calc)")</f>
        <v/>
      </c>
      <c r="AU12" s="40"/>
      <c r="AV12" s="39" t="str">
        <f>IF(AV$19="","","(Calc)")</f>
        <v/>
      </c>
      <c r="AW12" s="40"/>
      <c r="AX12" s="39" t="str">
        <f>IF(AX$19="","","(Calc)")</f>
        <v/>
      </c>
      <c r="AY12" s="40"/>
      <c r="AZ12" s="39" t="str">
        <f>IF(AZ$19="","","(Calc)")</f>
        <v/>
      </c>
      <c r="BA12" s="40"/>
      <c r="BB12" s="39" t="str">
        <f>IF(BB$19="","","(Calc)")</f>
        <v/>
      </c>
      <c r="BC12" s="40"/>
      <c r="BD12" s="39" t="str">
        <f>IF(BD$19="","","(Calc)")</f>
        <v/>
      </c>
      <c r="BE12" s="40"/>
      <c r="BF12" s="39" t="str">
        <f>IF(BF$19="","","(Calc)")</f>
        <v/>
      </c>
      <c r="BG12" s="40"/>
      <c r="BH12" s="39" t="str">
        <f>IF(BH$19="","","(Calc)")</f>
        <v/>
      </c>
      <c r="BI12" s="40"/>
    </row>
    <row r="13" spans="1:61" ht="15.75" customHeight="1" x14ac:dyDescent="0.25">
      <c r="A13" s="35"/>
      <c r="B13" s="37" t="str">
        <f>IF(B$19="","","(Calc+Strip+Demux)")</f>
        <v>(Calc+Strip+Demux)</v>
      </c>
      <c r="C13" s="38"/>
      <c r="D13" s="37" t="str">
        <f>IF(D$19="","","(Calc+Strip+Demux)")</f>
        <v>(Calc+Strip+Demux)</v>
      </c>
      <c r="E13" s="38"/>
      <c r="F13" s="37" t="str">
        <f>IF(F$19="","","(Calc+Strip+Demux)")</f>
        <v>(Calc+Strip+Demux)</v>
      </c>
      <c r="G13" s="38"/>
      <c r="H13" s="37" t="str">
        <f>IF(H$19="","","(Calc+Strip+Demux)")</f>
        <v/>
      </c>
      <c r="I13" s="38"/>
      <c r="J13" s="37" t="str">
        <f>IF(J$19="","","(Calc+Strip+Demux)")</f>
        <v/>
      </c>
      <c r="K13" s="38"/>
      <c r="L13" s="37" t="str">
        <f>IF(L$19="","","(Calc+Strip+Demux)")</f>
        <v/>
      </c>
      <c r="M13" s="38"/>
      <c r="N13" s="37" t="str">
        <f>IF(N$19="","","(Calc+Strip+Demux)")</f>
        <v/>
      </c>
      <c r="O13" s="38"/>
      <c r="P13" s="37" t="str">
        <f>IF(P$19="","","(Calc+Strip+Demux)")</f>
        <v/>
      </c>
      <c r="Q13" s="38"/>
      <c r="R13" s="37" t="str">
        <f>IF(R$19="","","(Calc+Strip+Demux)")</f>
        <v/>
      </c>
      <c r="S13" s="38"/>
      <c r="T13" s="37" t="str">
        <f>IF(T$19="","","(Calc+Strip+Demux)")</f>
        <v/>
      </c>
      <c r="U13" s="38"/>
      <c r="V13" s="37" t="str">
        <f>IF(V$19="","","(Calc+Strip+Demux)")</f>
        <v/>
      </c>
      <c r="W13" s="38"/>
      <c r="X13" s="37" t="str">
        <f>IF(X$19="","","(Calc+Strip+Demux)")</f>
        <v/>
      </c>
      <c r="Y13" s="38"/>
      <c r="Z13" s="37" t="str">
        <f>IF(Z$19="","","(Calc+Strip+Demux)")</f>
        <v/>
      </c>
      <c r="AA13" s="38"/>
      <c r="AB13" s="37" t="str">
        <f>IF(AB$19="","","(Calc+Strip+Demux)")</f>
        <v/>
      </c>
      <c r="AC13" s="38"/>
      <c r="AD13" s="37" t="str">
        <f>IF(AD$19="","","(Calc+Strip+Demux)")</f>
        <v/>
      </c>
      <c r="AE13" s="38"/>
      <c r="AF13" s="37" t="str">
        <f>IF(AF$19="","","(Calc+Strip+Demux)")</f>
        <v/>
      </c>
      <c r="AG13" s="38"/>
      <c r="AH13" s="37" t="str">
        <f>IF(AH$19="","","(Calc+Strip+Demux)")</f>
        <v/>
      </c>
      <c r="AI13" s="38"/>
      <c r="AJ13" s="37" t="str">
        <f>IF(AJ$19="","","(Calc+Strip+Demux)")</f>
        <v/>
      </c>
      <c r="AK13" s="38"/>
      <c r="AL13" s="37" t="str">
        <f>IF(AL$19="","","(Calc+Strip+Demux)")</f>
        <v/>
      </c>
      <c r="AM13" s="38"/>
      <c r="AN13" s="37" t="str">
        <f>IF(AN$19="","","(Calc+Strip+Demux)")</f>
        <v/>
      </c>
      <c r="AO13" s="38"/>
      <c r="AP13" s="37" t="str">
        <f>IF(AP$19="","","(Calc+Strip+Demux)")</f>
        <v/>
      </c>
      <c r="AQ13" s="38"/>
      <c r="AR13" s="37" t="str">
        <f>IF(AR$19="","","(Calc+Strip+Demux)")</f>
        <v/>
      </c>
      <c r="AS13" s="38"/>
      <c r="AT13" s="37" t="str">
        <f>IF(AT$19="","","(Calc+Strip+Demux)")</f>
        <v/>
      </c>
      <c r="AU13" s="38"/>
      <c r="AV13" s="37" t="str">
        <f>IF(AV$19="","","(Calc+Strip+Demux)")</f>
        <v/>
      </c>
      <c r="AW13" s="38"/>
      <c r="AX13" s="37" t="str">
        <f>IF(AX$19="","","(Calc+Strip+Demux)")</f>
        <v/>
      </c>
      <c r="AY13" s="38"/>
      <c r="AZ13" s="37" t="str">
        <f>IF(AZ$19="","","(Calc+Strip+Demux)")</f>
        <v/>
      </c>
      <c r="BA13" s="38"/>
      <c r="BB13" s="37" t="str">
        <f>IF(BB$19="","","(Calc+Strip+Demux)")</f>
        <v/>
      </c>
      <c r="BC13" s="38"/>
      <c r="BD13" s="37" t="str">
        <f>IF(BD$19="","","(Calc+Strip+Demux)")</f>
        <v/>
      </c>
      <c r="BE13" s="38"/>
      <c r="BF13" s="37" t="str">
        <f>IF(BF$19="","","(Calc+Strip+Demux)")</f>
        <v/>
      </c>
      <c r="BG13" s="38"/>
      <c r="BH13" s="37" t="str">
        <f>IF(BH$19="","","(Calc+Strip+Demux)")</f>
        <v/>
      </c>
      <c r="BI13" s="38"/>
    </row>
    <row r="14" spans="1:61" ht="15.75" customHeight="1" x14ac:dyDescent="0.25">
      <c r="A14" s="35"/>
      <c r="B14" s="37" t="str">
        <f>IF(B$19="","","(Strip+Demux)")</f>
        <v>(Strip+Demux)</v>
      </c>
      <c r="C14" s="38"/>
      <c r="D14" s="37" t="str">
        <f>IF(D$19="","","(Strip+Demux)")</f>
        <v>(Strip+Demux)</v>
      </c>
      <c r="E14" s="38"/>
      <c r="F14" s="37" t="str">
        <f>IF(F$19="","","(Strip+Demux)")</f>
        <v>(Strip+Demux)</v>
      </c>
      <c r="G14" s="38"/>
      <c r="H14" s="37" t="str">
        <f>IF(H$19="","","(Strip+Demux)")</f>
        <v/>
      </c>
      <c r="I14" s="38"/>
      <c r="J14" s="37" t="str">
        <f>IF(J$19="","","(Strip+Demux)")</f>
        <v/>
      </c>
      <c r="K14" s="38"/>
      <c r="L14" s="37" t="str">
        <f>IF(L$19="","","(Strip+Demux)")</f>
        <v/>
      </c>
      <c r="M14" s="38"/>
      <c r="N14" s="37" t="str">
        <f>IF(N$19="","","(Strip+Demux)")</f>
        <v/>
      </c>
      <c r="O14" s="38"/>
      <c r="P14" s="37" t="str">
        <f>IF(P$19="","","(Strip+Demux)")</f>
        <v/>
      </c>
      <c r="Q14" s="38"/>
      <c r="R14" s="37" t="str">
        <f>IF(R$19="","","(Strip+Demux)")</f>
        <v/>
      </c>
      <c r="S14" s="38"/>
      <c r="T14" s="37" t="str">
        <f>IF(T$19="","","(Strip+Demux)")</f>
        <v/>
      </c>
      <c r="U14" s="38"/>
      <c r="V14" s="37" t="str">
        <f>IF(V$19="","","(Strip+Demux)")</f>
        <v/>
      </c>
      <c r="W14" s="38"/>
      <c r="X14" s="37" t="str">
        <f>IF(X$19="","","(Strip+Demux)")</f>
        <v/>
      </c>
      <c r="Y14" s="38"/>
      <c r="Z14" s="37" t="str">
        <f>IF(Z$19="","","(Strip+Demux)")</f>
        <v/>
      </c>
      <c r="AA14" s="38"/>
      <c r="AB14" s="37" t="str">
        <f>IF(AB$19="","","(Strip+Demux)")</f>
        <v/>
      </c>
      <c r="AC14" s="38"/>
      <c r="AD14" s="37" t="str">
        <f>IF(AD$19="","","(Strip+Demux)")</f>
        <v/>
      </c>
      <c r="AE14" s="38"/>
      <c r="AF14" s="37" t="str">
        <f>IF(AF$19="","","(Strip+Demux)")</f>
        <v/>
      </c>
      <c r="AG14" s="38"/>
      <c r="AH14" s="37" t="str">
        <f>IF(AH$19="","","(Strip+Demux)")</f>
        <v/>
      </c>
      <c r="AI14" s="38"/>
      <c r="AJ14" s="37" t="str">
        <f>IF(AJ$19="","","(Strip+Demux)")</f>
        <v/>
      </c>
      <c r="AK14" s="38"/>
      <c r="AL14" s="37" t="str">
        <f>IF(AL$19="","","(Strip+Demux)")</f>
        <v/>
      </c>
      <c r="AM14" s="38"/>
      <c r="AN14" s="37" t="str">
        <f>IF(AN$19="","","(Strip+Demux)")</f>
        <v/>
      </c>
      <c r="AO14" s="38"/>
      <c r="AP14" s="37" t="str">
        <f>IF(AP$19="","","(Strip+Demux)")</f>
        <v/>
      </c>
      <c r="AQ14" s="38"/>
      <c r="AR14" s="37" t="str">
        <f>IF(AR$19="","","(Strip+Demux)")</f>
        <v/>
      </c>
      <c r="AS14" s="38"/>
      <c r="AT14" s="37" t="str">
        <f>IF(AT$19="","","(Strip+Demux)")</f>
        <v/>
      </c>
      <c r="AU14" s="38"/>
      <c r="AV14" s="37" t="str">
        <f>IF(AV$19="","","(Strip+Demux)")</f>
        <v/>
      </c>
      <c r="AW14" s="38"/>
      <c r="AX14" s="37" t="str">
        <f>IF(AX$19="","","(Strip+Demux)")</f>
        <v/>
      </c>
      <c r="AY14" s="38"/>
      <c r="AZ14" s="37" t="str">
        <f>IF(AZ$19="","","(Strip+Demux)")</f>
        <v/>
      </c>
      <c r="BA14" s="38"/>
      <c r="BB14" s="37" t="str">
        <f>IF(BB$19="","","(Strip+Demux)")</f>
        <v/>
      </c>
      <c r="BC14" s="38"/>
      <c r="BD14" s="37" t="str">
        <f>IF(BD$19="","","(Strip+Demux)")</f>
        <v/>
      </c>
      <c r="BE14" s="38"/>
      <c r="BF14" s="37" t="str">
        <f>IF(BF$19="","","(Strip+Demux)")</f>
        <v/>
      </c>
      <c r="BG14" s="38"/>
      <c r="BH14" s="37" t="str">
        <f>IF(BH$19="","","(Strip+Demux)")</f>
        <v/>
      </c>
      <c r="BI14" s="38"/>
    </row>
    <row r="15" spans="1:61" ht="15.75" customHeight="1" x14ac:dyDescent="0.25">
      <c r="A15" s="35"/>
      <c r="B15" s="37" t="str">
        <f>IF(B$19="","","(Post)")</f>
        <v>(Post)</v>
      </c>
      <c r="C15" s="38"/>
      <c r="D15" s="37" t="str">
        <f>IF(D$19="","","(Post)")</f>
        <v>(Post)</v>
      </c>
      <c r="E15" s="38"/>
      <c r="F15" s="37" t="str">
        <f>IF(F$19="","","(Post)")</f>
        <v>(Post)</v>
      </c>
      <c r="G15" s="38"/>
      <c r="H15" s="37" t="str">
        <f>IF(H$19="","","(Post)")</f>
        <v/>
      </c>
      <c r="I15" s="38"/>
      <c r="J15" s="37" t="str">
        <f>IF(J$19="","","(Post)")</f>
        <v/>
      </c>
      <c r="K15" s="38"/>
      <c r="L15" s="37" t="str">
        <f>IF(L$19="","","(Post)")</f>
        <v/>
      </c>
      <c r="M15" s="38"/>
      <c r="N15" s="37" t="str">
        <f>IF(N$19="","","(Post)")</f>
        <v/>
      </c>
      <c r="O15" s="38"/>
      <c r="P15" s="37" t="str">
        <f>IF(P$19="","","(Post)")</f>
        <v/>
      </c>
      <c r="Q15" s="38"/>
      <c r="R15" s="37" t="str">
        <f>IF(R$19="","","(Post)")</f>
        <v/>
      </c>
      <c r="S15" s="38"/>
      <c r="T15" s="37" t="str">
        <f>IF(T$19="","","(Post)")</f>
        <v/>
      </c>
      <c r="U15" s="38"/>
      <c r="V15" s="37" t="str">
        <f>IF(V$19="","","(Post)")</f>
        <v/>
      </c>
      <c r="W15" s="38"/>
      <c r="X15" s="37" t="str">
        <f>IF(X$19="","","(Post)")</f>
        <v/>
      </c>
      <c r="Y15" s="38"/>
      <c r="Z15" s="37" t="str">
        <f>IF(Z$19="","","(Post)")</f>
        <v/>
      </c>
      <c r="AA15" s="38"/>
      <c r="AB15" s="37" t="str">
        <f>IF(AB$19="","","(Post)")</f>
        <v/>
      </c>
      <c r="AC15" s="38"/>
      <c r="AD15" s="37" t="str">
        <f>IF(AD$19="","","(Post)")</f>
        <v/>
      </c>
      <c r="AE15" s="38"/>
      <c r="AF15" s="37" t="str">
        <f>IF(AF$19="","","(Post)")</f>
        <v/>
      </c>
      <c r="AG15" s="38"/>
      <c r="AH15" s="37" t="str">
        <f>IF(AH$19="","","(Post)")</f>
        <v/>
      </c>
      <c r="AI15" s="38"/>
      <c r="AJ15" s="37" t="str">
        <f>IF(AJ$19="","","(Post)")</f>
        <v/>
      </c>
      <c r="AK15" s="38"/>
      <c r="AL15" s="37" t="str">
        <f>IF(AL$19="","","(Post)")</f>
        <v/>
      </c>
      <c r="AM15" s="38"/>
      <c r="AN15" s="37" t="str">
        <f>IF(AN$19="","","(Post)")</f>
        <v/>
      </c>
      <c r="AO15" s="38"/>
      <c r="AP15" s="37" t="str">
        <f>IF(AP$19="","","(Post)")</f>
        <v/>
      </c>
      <c r="AQ15" s="38"/>
      <c r="AR15" s="37" t="str">
        <f>IF(AR$19="","","(Post)")</f>
        <v/>
      </c>
      <c r="AS15" s="38"/>
      <c r="AT15" s="37" t="str">
        <f>IF(AT$19="","","(Post)")</f>
        <v/>
      </c>
      <c r="AU15" s="38"/>
      <c r="AV15" s="37" t="str">
        <f>IF(AV$19="","","(Post)")</f>
        <v/>
      </c>
      <c r="AW15" s="38"/>
      <c r="AX15" s="37" t="str">
        <f>IF(AX$19="","","(Post)")</f>
        <v/>
      </c>
      <c r="AY15" s="38"/>
      <c r="AZ15" s="37" t="str">
        <f>IF(AZ$19="","","(Post)")</f>
        <v/>
      </c>
      <c r="BA15" s="38"/>
      <c r="BB15" s="37" t="str">
        <f>IF(BB$19="","","(Post)")</f>
        <v/>
      </c>
      <c r="BC15" s="38"/>
      <c r="BD15" s="37" t="str">
        <f>IF(BD$19="","","(Post)")</f>
        <v/>
      </c>
      <c r="BE15" s="38"/>
      <c r="BF15" s="37" t="str">
        <f>IF(BF$19="","","(Post)")</f>
        <v/>
      </c>
      <c r="BG15" s="38"/>
      <c r="BH15" s="37" t="str">
        <f>IF(BH$19="","","(Post)")</f>
        <v/>
      </c>
      <c r="BI15" s="38"/>
    </row>
    <row r="16" spans="1:61" x14ac:dyDescent="0.25">
      <c r="A16" s="35"/>
      <c r="B16" s="37" t="str">
        <f>IF(B$19="","","(Calc+Post)")</f>
        <v>(Calc+Post)</v>
      </c>
      <c r="C16" s="38"/>
      <c r="D16" s="37" t="str">
        <f>IF(D$19="","","(Calc+Post)")</f>
        <v>(Calc+Post)</v>
      </c>
      <c r="E16" s="38"/>
      <c r="F16" s="37" t="str">
        <f>IF(F$19="","","(Calc+Post)")</f>
        <v>(Calc+Post)</v>
      </c>
      <c r="G16" s="38"/>
      <c r="H16" s="37" t="str">
        <f>IF(H$19="","","(Calc+Post)")</f>
        <v/>
      </c>
      <c r="I16" s="38"/>
      <c r="J16" s="37" t="str">
        <f>IF(J$19="","","(Calc+Post)")</f>
        <v/>
      </c>
      <c r="K16" s="38"/>
      <c r="L16" s="37" t="str">
        <f>IF(L$19="","","(Calc+Post)")</f>
        <v/>
      </c>
      <c r="M16" s="38"/>
      <c r="N16" s="37" t="str">
        <f>IF(N$19="","","(Calc+Post)")</f>
        <v/>
      </c>
      <c r="O16" s="38"/>
      <c r="P16" s="37" t="str">
        <f>IF(P$19="","","(Calc+Post)")</f>
        <v/>
      </c>
      <c r="Q16" s="38"/>
      <c r="R16" s="37" t="str">
        <f>IF(R$19="","","(Calc+Post)")</f>
        <v/>
      </c>
      <c r="S16" s="38"/>
      <c r="T16" s="37" t="str">
        <f>IF(T$19="","","(Calc+Post)")</f>
        <v/>
      </c>
      <c r="U16" s="38"/>
      <c r="V16" s="37" t="str">
        <f>IF(V$19="","","(Calc+Post)")</f>
        <v/>
      </c>
      <c r="W16" s="38"/>
      <c r="X16" s="37" t="str">
        <f>IF(X$19="","","(Calc+Post)")</f>
        <v/>
      </c>
      <c r="Y16" s="38"/>
      <c r="Z16" s="37" t="str">
        <f>IF(Z$19="","","(Calc+Post)")</f>
        <v/>
      </c>
      <c r="AA16" s="38"/>
      <c r="AB16" s="37" t="str">
        <f>IF(AB$19="","","(Calc+Post)")</f>
        <v/>
      </c>
      <c r="AC16" s="38"/>
      <c r="AD16" s="37" t="str">
        <f>IF(AD$19="","","(Calc+Post)")</f>
        <v/>
      </c>
      <c r="AE16" s="38"/>
      <c r="AF16" s="37" t="str">
        <f>IF(AF$19="","","(Calc+Post)")</f>
        <v/>
      </c>
      <c r="AG16" s="38"/>
      <c r="AH16" s="37" t="str">
        <f>IF(AH$19="","","(Calc+Post)")</f>
        <v/>
      </c>
      <c r="AI16" s="38"/>
      <c r="AJ16" s="37" t="str">
        <f>IF(AJ$19="","","(Calc+Post)")</f>
        <v/>
      </c>
      <c r="AK16" s="38"/>
      <c r="AL16" s="37" t="str">
        <f>IF(AL$19="","","(Calc+Post)")</f>
        <v/>
      </c>
      <c r="AM16" s="38"/>
      <c r="AN16" s="37" t="str">
        <f>IF(AN$19="","","(Calc+Post)")</f>
        <v/>
      </c>
      <c r="AO16" s="38"/>
      <c r="AP16" s="37" t="str">
        <f>IF(AP$19="","","(Calc+Post)")</f>
        <v/>
      </c>
      <c r="AQ16" s="38"/>
      <c r="AR16" s="37" t="str">
        <f>IF(AR$19="","","(Calc+Post)")</f>
        <v/>
      </c>
      <c r="AS16" s="38"/>
      <c r="AT16" s="37" t="str">
        <f>IF(AT$19="","","(Calc+Post)")</f>
        <v/>
      </c>
      <c r="AU16" s="38"/>
      <c r="AV16" s="37" t="str">
        <f>IF(AV$19="","","(Calc+Post)")</f>
        <v/>
      </c>
      <c r="AW16" s="38"/>
      <c r="AX16" s="37" t="str">
        <f>IF(AX$19="","","(Calc+Post)")</f>
        <v/>
      </c>
      <c r="AY16" s="38"/>
      <c r="AZ16" s="37" t="str">
        <f>IF(AZ$19="","","(Calc+Post)")</f>
        <v/>
      </c>
      <c r="BA16" s="38"/>
      <c r="BB16" s="37" t="str">
        <f>IF(BB$19="","","(Calc+Post)")</f>
        <v/>
      </c>
      <c r="BC16" s="38"/>
      <c r="BD16" s="37" t="str">
        <f>IF(BD$19="","","(Calc+Post)")</f>
        <v/>
      </c>
      <c r="BE16" s="38"/>
      <c r="BF16" s="37" t="str">
        <f>IF(BF$19="","","(Calc+Post)")</f>
        <v/>
      </c>
      <c r="BG16" s="38"/>
      <c r="BH16" s="37" t="str">
        <f>IF(BH$19="","","(Calc+Post)")</f>
        <v/>
      </c>
      <c r="BI16" s="38"/>
    </row>
    <row r="17" spans="1:61" x14ac:dyDescent="0.25">
      <c r="A17" s="36"/>
      <c r="B17" s="41" t="str">
        <f>IF(B$19="","","(ps2pdf)")</f>
        <v>(ps2pdf)</v>
      </c>
      <c r="C17" s="42"/>
      <c r="D17" s="41" t="str">
        <f>IF(D$19="","","(ps2pdf)")</f>
        <v>(ps2pdf)</v>
      </c>
      <c r="E17" s="42"/>
      <c r="F17" s="41" t="str">
        <f>IF(F$19="","","(ps2pdf)")</f>
        <v>(ps2pdf)</v>
      </c>
      <c r="G17" s="42"/>
      <c r="H17" s="41" t="str">
        <f>IF(H$19="","","(ps2pdf)")</f>
        <v/>
      </c>
      <c r="I17" s="42"/>
      <c r="J17" s="41" t="str">
        <f>IF(J$19="","","(ps2pdf)")</f>
        <v/>
      </c>
      <c r="K17" s="42"/>
      <c r="L17" s="41" t="str">
        <f>IF(L$19="","","(ps2pdf)")</f>
        <v/>
      </c>
      <c r="M17" s="42"/>
      <c r="N17" s="41" t="str">
        <f>IF(N$19="","","(ps2pdf)")</f>
        <v/>
      </c>
      <c r="O17" s="42"/>
      <c r="P17" s="41" t="str">
        <f>IF(P$19="","","(ps2pdf)")</f>
        <v/>
      </c>
      <c r="Q17" s="42"/>
      <c r="R17" s="41" t="str">
        <f>IF(R$19="","","(ps2pdf)")</f>
        <v/>
      </c>
      <c r="S17" s="42"/>
      <c r="T17" s="41" t="str">
        <f>IF(T$19="","","(ps2pdf)")</f>
        <v/>
      </c>
      <c r="U17" s="42"/>
      <c r="V17" s="41" t="str">
        <f>IF(V$19="","","(ps2pdf)")</f>
        <v/>
      </c>
      <c r="W17" s="42"/>
      <c r="X17" s="41" t="str">
        <f>IF(X$19="","","(ps2pdf)")</f>
        <v/>
      </c>
      <c r="Y17" s="42"/>
      <c r="Z17" s="41" t="str">
        <f>IF(Z$19="","","(ps2pdf)")</f>
        <v/>
      </c>
      <c r="AA17" s="42"/>
      <c r="AB17" s="41" t="str">
        <f>IF(AB$19="","","(ps2pdf)")</f>
        <v/>
      </c>
      <c r="AC17" s="42"/>
      <c r="AD17" s="41" t="str">
        <f>IF(AD$19="","","(ps2pdf)")</f>
        <v/>
      </c>
      <c r="AE17" s="42"/>
      <c r="AF17" s="41" t="str">
        <f>IF(AF$19="","","(ps2pdf)")</f>
        <v/>
      </c>
      <c r="AG17" s="42"/>
      <c r="AH17" s="41" t="str">
        <f>IF(AH$19="","","(ps2pdf)")</f>
        <v/>
      </c>
      <c r="AI17" s="42"/>
      <c r="AJ17" s="41" t="str">
        <f>IF(AJ$19="","","(ps2pdf)")</f>
        <v/>
      </c>
      <c r="AK17" s="42"/>
      <c r="AL17" s="41" t="str">
        <f>IF(AL$19="","","(ps2pdf)")</f>
        <v/>
      </c>
      <c r="AM17" s="42"/>
      <c r="AN17" s="41" t="str">
        <f>IF(AN$19="","","(ps2pdf)")</f>
        <v/>
      </c>
      <c r="AO17" s="42"/>
      <c r="AP17" s="41" t="str">
        <f>IF(AP$19="","","(ps2pdf)")</f>
        <v/>
      </c>
      <c r="AQ17" s="42"/>
      <c r="AR17" s="41" t="str">
        <f>IF(AR$19="","","(ps2pdf)")</f>
        <v/>
      </c>
      <c r="AS17" s="42"/>
      <c r="AT17" s="41" t="str">
        <f>IF(AT$19="","","(ps2pdf)")</f>
        <v/>
      </c>
      <c r="AU17" s="42"/>
      <c r="AV17" s="41" t="str">
        <f>IF(AV$19="","","(ps2pdf)")</f>
        <v/>
      </c>
      <c r="AW17" s="42"/>
      <c r="AX17" s="41" t="str">
        <f>IF(AX$19="","","(ps2pdf)")</f>
        <v/>
      </c>
      <c r="AY17" s="42"/>
      <c r="AZ17" s="41" t="str">
        <f>IF(AZ$19="","","(ps2pdf)")</f>
        <v/>
      </c>
      <c r="BA17" s="42"/>
      <c r="BB17" s="41" t="str">
        <f>IF(BB$19="","","(ps2pdf)")</f>
        <v/>
      </c>
      <c r="BC17" s="42"/>
      <c r="BD17" s="41" t="str">
        <f>IF(BD$19="","","(ps2pdf)")</f>
        <v/>
      </c>
      <c r="BE17" s="42"/>
      <c r="BF17" s="41" t="str">
        <f>IF(BF$19="","","(ps2pdf)")</f>
        <v/>
      </c>
      <c r="BG17" s="42"/>
      <c r="BH17" s="41" t="str">
        <f>IF(BH$19="","","(ps2pdf)")</f>
        <v/>
      </c>
      <c r="BI17" s="42"/>
    </row>
    <row r="18" spans="1:61" ht="18.75" x14ac:dyDescent="0.3">
      <c r="A18" s="12" t="s">
        <v>0</v>
      </c>
      <c r="B18" s="43" t="s">
        <v>31</v>
      </c>
      <c r="C18" s="44"/>
      <c r="D18" s="43">
        <v>1</v>
      </c>
      <c r="E18" s="44"/>
      <c r="F18" s="43">
        <f>D18+1</f>
        <v>2</v>
      </c>
      <c r="G18" s="44"/>
      <c r="H18" s="43">
        <f>F18+1</f>
        <v>3</v>
      </c>
      <c r="I18" s="44"/>
      <c r="J18" s="43">
        <f>H18+1</f>
        <v>4</v>
      </c>
      <c r="K18" s="44"/>
      <c r="L18" s="43">
        <f>J18+1</f>
        <v>5</v>
      </c>
      <c r="M18" s="44"/>
      <c r="N18" s="43">
        <f>L18+1</f>
        <v>6</v>
      </c>
      <c r="O18" s="44"/>
      <c r="P18" s="43">
        <f>N18+1</f>
        <v>7</v>
      </c>
      <c r="Q18" s="44"/>
      <c r="R18" s="43">
        <f>P18+1</f>
        <v>8</v>
      </c>
      <c r="S18" s="44"/>
      <c r="T18" s="43">
        <f>R18+1</f>
        <v>9</v>
      </c>
      <c r="U18" s="44"/>
      <c r="V18" s="43">
        <f>T18+1</f>
        <v>10</v>
      </c>
      <c r="W18" s="44"/>
      <c r="X18" s="43">
        <f>V18+1</f>
        <v>11</v>
      </c>
      <c r="Y18" s="44"/>
      <c r="Z18" s="43">
        <f>X18+1</f>
        <v>12</v>
      </c>
      <c r="AA18" s="44"/>
      <c r="AB18" s="43">
        <f>Z18+1</f>
        <v>13</v>
      </c>
      <c r="AC18" s="44"/>
      <c r="AD18" s="43">
        <f>AB18+1</f>
        <v>14</v>
      </c>
      <c r="AE18" s="44"/>
      <c r="AF18" s="43">
        <f>AD18+1</f>
        <v>15</v>
      </c>
      <c r="AG18" s="44"/>
      <c r="AH18" s="43">
        <f>AF18+1</f>
        <v>16</v>
      </c>
      <c r="AI18" s="44"/>
      <c r="AJ18" s="43">
        <f>AH18+1</f>
        <v>17</v>
      </c>
      <c r="AK18" s="44"/>
      <c r="AL18" s="43">
        <f>AJ18+1</f>
        <v>18</v>
      </c>
      <c r="AM18" s="44"/>
      <c r="AN18" s="43">
        <f>AL18+1</f>
        <v>19</v>
      </c>
      <c r="AO18" s="44"/>
      <c r="AP18" s="43">
        <f>AN18+1</f>
        <v>20</v>
      </c>
      <c r="AQ18" s="44"/>
      <c r="AR18" s="43">
        <f>AP18+1</f>
        <v>21</v>
      </c>
      <c r="AS18" s="44"/>
      <c r="AT18" s="43">
        <f>AR18+1</f>
        <v>22</v>
      </c>
      <c r="AU18" s="44"/>
      <c r="AV18" s="43">
        <f>AT18+1</f>
        <v>23</v>
      </c>
      <c r="AW18" s="44"/>
      <c r="AX18" s="43">
        <f>AV18+1</f>
        <v>24</v>
      </c>
      <c r="AY18" s="44"/>
      <c r="AZ18" s="43">
        <f>AX18+1</f>
        <v>25</v>
      </c>
      <c r="BA18" s="44"/>
      <c r="BB18" s="43">
        <f>AZ18+1</f>
        <v>26</v>
      </c>
      <c r="BC18" s="44"/>
      <c r="BD18" s="43">
        <f>BB18+1</f>
        <v>27</v>
      </c>
      <c r="BE18" s="44"/>
      <c r="BF18" s="43">
        <f>BD18+1</f>
        <v>28</v>
      </c>
      <c r="BG18" s="44"/>
      <c r="BH18" s="43">
        <f>BF18+1</f>
        <v>29</v>
      </c>
      <c r="BI18" s="44"/>
    </row>
    <row r="19" spans="1:61" ht="18.75" x14ac:dyDescent="0.3">
      <c r="A19" s="13" t="s">
        <v>1</v>
      </c>
      <c r="B19" s="45" t="s">
        <v>43</v>
      </c>
      <c r="C19" s="46"/>
      <c r="D19" s="45" t="s">
        <v>45</v>
      </c>
      <c r="E19" s="46"/>
      <c r="F19" s="45" t="s">
        <v>47</v>
      </c>
      <c r="G19" s="46"/>
      <c r="H19" s="45"/>
      <c r="I19" s="46"/>
      <c r="J19" s="45"/>
      <c r="K19" s="46"/>
      <c r="L19" s="45"/>
      <c r="M19" s="46"/>
      <c r="N19" s="45"/>
      <c r="O19" s="46"/>
      <c r="P19" s="45"/>
      <c r="Q19" s="46"/>
      <c r="R19" s="45"/>
      <c r="S19" s="46"/>
      <c r="T19" s="45"/>
      <c r="U19" s="46"/>
      <c r="V19" s="45"/>
      <c r="W19" s="46"/>
      <c r="X19" s="45"/>
      <c r="Y19" s="46"/>
      <c r="Z19" s="45"/>
      <c r="AA19" s="46"/>
      <c r="AB19" s="45"/>
      <c r="AC19" s="46"/>
      <c r="AD19" s="45"/>
      <c r="AE19" s="46"/>
      <c r="AF19" s="45"/>
      <c r="AG19" s="46"/>
      <c r="AH19" s="45"/>
      <c r="AI19" s="46"/>
      <c r="AJ19" s="45"/>
      <c r="AK19" s="46"/>
      <c r="AL19" s="45"/>
      <c r="AM19" s="46"/>
      <c r="AN19" s="45"/>
      <c r="AO19" s="46"/>
      <c r="AP19" s="45"/>
      <c r="AQ19" s="46"/>
      <c r="AR19" s="45"/>
      <c r="AS19" s="46"/>
      <c r="AT19" s="45"/>
      <c r="AU19" s="46"/>
      <c r="AV19" s="45"/>
      <c r="AW19" s="46"/>
      <c r="AX19" s="45"/>
      <c r="AY19" s="46"/>
      <c r="AZ19" s="45"/>
      <c r="BA19" s="46"/>
      <c r="BB19" s="45"/>
      <c r="BC19" s="46"/>
      <c r="BD19" s="45"/>
      <c r="BE19" s="46"/>
      <c r="BF19" s="45"/>
      <c r="BG19" s="46"/>
      <c r="BH19" s="45"/>
      <c r="BI19" s="46"/>
    </row>
    <row r="20" spans="1:61" ht="43.5" customHeight="1" x14ac:dyDescent="0.25">
      <c r="A20" s="33" t="s">
        <v>28</v>
      </c>
      <c r="B20" s="47" t="s">
        <v>49</v>
      </c>
      <c r="C20" s="48"/>
      <c r="D20" s="47" t="s">
        <v>46</v>
      </c>
      <c r="E20" s="48"/>
      <c r="F20" s="47" t="s">
        <v>48</v>
      </c>
      <c r="G20" s="48"/>
      <c r="H20" s="47"/>
      <c r="I20" s="48"/>
      <c r="J20" s="47"/>
      <c r="K20" s="48"/>
      <c r="L20" s="47"/>
      <c r="M20" s="48"/>
      <c r="N20" s="47"/>
      <c r="O20" s="48"/>
      <c r="P20" s="47"/>
      <c r="Q20" s="48"/>
      <c r="R20" s="47"/>
      <c r="S20" s="48"/>
      <c r="T20" s="47"/>
      <c r="U20" s="48"/>
      <c r="V20" s="47"/>
      <c r="W20" s="48"/>
      <c r="X20" s="47"/>
      <c r="Y20" s="48"/>
      <c r="Z20" s="60"/>
      <c r="AA20" s="61"/>
      <c r="AB20" s="60"/>
      <c r="AC20" s="61"/>
      <c r="AD20" s="60"/>
      <c r="AE20" s="61"/>
      <c r="AF20" s="60"/>
      <c r="AG20" s="61"/>
      <c r="AH20" s="60"/>
      <c r="AI20" s="61"/>
      <c r="AJ20" s="60"/>
      <c r="AK20" s="61"/>
      <c r="AL20" s="60"/>
      <c r="AM20" s="61"/>
      <c r="AN20" s="60"/>
      <c r="AO20" s="61"/>
      <c r="AP20" s="60"/>
      <c r="AQ20" s="61"/>
      <c r="AR20" s="60"/>
      <c r="AS20" s="61"/>
      <c r="AT20" s="60"/>
      <c r="AU20" s="61"/>
      <c r="AV20" s="60"/>
      <c r="AW20" s="61"/>
      <c r="AX20" s="60"/>
      <c r="AY20" s="61"/>
      <c r="AZ20" s="60"/>
      <c r="BA20" s="61"/>
      <c r="BB20" s="60"/>
      <c r="BC20" s="61"/>
      <c r="BD20" s="60"/>
      <c r="BE20" s="61"/>
      <c r="BF20" s="60"/>
      <c r="BG20" s="61"/>
      <c r="BH20" s="60"/>
      <c r="BI20" s="61"/>
    </row>
    <row r="21" spans="1:61" ht="20.25" x14ac:dyDescent="0.35">
      <c r="A21" s="13" t="s">
        <v>29</v>
      </c>
      <c r="B21" s="28">
        <v>0</v>
      </c>
      <c r="C21" s="31">
        <v>50</v>
      </c>
      <c r="D21" s="28">
        <v>0</v>
      </c>
      <c r="E21" s="31">
        <v>50</v>
      </c>
      <c r="F21" s="28">
        <v>0</v>
      </c>
      <c r="G21" s="31">
        <v>500</v>
      </c>
      <c r="H21" s="28"/>
      <c r="I21" s="31"/>
      <c r="J21" s="28"/>
      <c r="K21" s="31"/>
      <c r="L21" s="28"/>
      <c r="M21" s="31"/>
      <c r="N21" s="28"/>
      <c r="O21" s="31"/>
      <c r="P21" s="28"/>
      <c r="Q21" s="31"/>
      <c r="R21" s="28"/>
      <c r="S21" s="31"/>
      <c r="T21" s="28"/>
      <c r="U21" s="31"/>
      <c r="V21" s="28"/>
      <c r="W21" s="31"/>
      <c r="X21" s="28"/>
      <c r="Y21" s="31"/>
      <c r="Z21" s="56"/>
      <c r="AA21" s="57"/>
      <c r="AB21" s="56"/>
      <c r="AC21" s="57"/>
      <c r="AD21" s="56"/>
      <c r="AE21" s="57"/>
      <c r="AF21" s="56"/>
      <c r="AG21" s="57"/>
      <c r="AH21" s="56"/>
      <c r="AI21" s="57"/>
      <c r="AJ21" s="56"/>
      <c r="AK21" s="57"/>
      <c r="AL21" s="56"/>
      <c r="AM21" s="57"/>
      <c r="AN21" s="56"/>
      <c r="AO21" s="57"/>
      <c r="AP21" s="56"/>
      <c r="AQ21" s="57"/>
      <c r="AR21" s="56"/>
      <c r="AS21" s="57"/>
      <c r="AT21" s="56"/>
      <c r="AU21" s="57"/>
      <c r="AV21" s="56"/>
      <c r="AW21" s="57"/>
      <c r="AX21" s="56"/>
      <c r="AY21" s="57"/>
      <c r="AZ21" s="56"/>
      <c r="BA21" s="57"/>
      <c r="BB21" s="56"/>
      <c r="BC21" s="57"/>
      <c r="BD21" s="56"/>
      <c r="BE21" s="57"/>
      <c r="BF21" s="56"/>
      <c r="BG21" s="57"/>
      <c r="BH21" s="56"/>
      <c r="BI21" s="57"/>
    </row>
    <row r="22" spans="1:61" ht="20.25" x14ac:dyDescent="0.35">
      <c r="A22" s="13" t="s">
        <v>30</v>
      </c>
      <c r="B22" s="29"/>
      <c r="C22" s="32"/>
      <c r="D22" s="29"/>
      <c r="E22" s="32"/>
      <c r="F22" s="29"/>
      <c r="G22" s="32"/>
      <c r="H22" s="29"/>
      <c r="I22" s="32"/>
      <c r="J22" s="29"/>
      <c r="K22" s="32"/>
      <c r="L22" s="29"/>
      <c r="M22" s="32"/>
      <c r="N22" s="29"/>
      <c r="O22" s="32"/>
      <c r="P22" s="29"/>
      <c r="Q22" s="32"/>
      <c r="R22" s="29"/>
      <c r="S22" s="32"/>
      <c r="T22" s="29"/>
      <c r="U22" s="32"/>
      <c r="V22" s="29"/>
      <c r="W22" s="32"/>
      <c r="X22" s="29"/>
      <c r="Y22" s="32"/>
      <c r="Z22" s="58"/>
      <c r="AA22" s="59"/>
      <c r="AB22" s="58"/>
      <c r="AC22" s="59"/>
      <c r="AD22" s="58"/>
      <c r="AE22" s="59"/>
      <c r="AF22" s="58"/>
      <c r="AG22" s="59"/>
      <c r="AH22" s="58"/>
      <c r="AI22" s="59"/>
      <c r="AJ22" s="58"/>
      <c r="AK22" s="59"/>
      <c r="AL22" s="58"/>
      <c r="AM22" s="59"/>
      <c r="AN22" s="58"/>
      <c r="AO22" s="59"/>
      <c r="AP22" s="58"/>
      <c r="AQ22" s="59"/>
      <c r="AR22" s="58"/>
      <c r="AS22" s="59"/>
      <c r="AT22" s="58"/>
      <c r="AU22" s="59"/>
      <c r="AV22" s="58"/>
      <c r="AW22" s="59"/>
      <c r="AX22" s="58"/>
      <c r="AY22" s="59"/>
      <c r="AZ22" s="58"/>
      <c r="BA22" s="59"/>
      <c r="BB22" s="58"/>
      <c r="BC22" s="59"/>
      <c r="BD22" s="58"/>
      <c r="BE22" s="59"/>
      <c r="BF22" s="58"/>
      <c r="BG22" s="59"/>
      <c r="BH22" s="58"/>
      <c r="BI22" s="59"/>
    </row>
    <row r="23" spans="1:61" ht="18.75" x14ac:dyDescent="0.3">
      <c r="A23" s="13" t="s">
        <v>44</v>
      </c>
      <c r="B23" s="62" t="s">
        <v>42</v>
      </c>
      <c r="C23" s="11">
        <v>43741.861122685186</v>
      </c>
      <c r="D23" s="62" t="s">
        <v>42</v>
      </c>
      <c r="E23" s="11">
        <v>43741.861122685186</v>
      </c>
      <c r="F23" s="62" t="s">
        <v>42</v>
      </c>
      <c r="G23" s="11">
        <v>43741.861122685186</v>
      </c>
      <c r="H23" s="62"/>
      <c r="I23" s="10"/>
      <c r="J23" s="62"/>
      <c r="K23" s="10"/>
      <c r="L23" s="62"/>
      <c r="M23" s="10"/>
      <c r="N23" s="62"/>
      <c r="O23" s="10"/>
      <c r="P23" s="62"/>
      <c r="Q23" s="10"/>
      <c r="R23" s="62"/>
      <c r="S23" s="10"/>
      <c r="T23" s="62"/>
      <c r="U23" s="10"/>
      <c r="V23" s="62"/>
      <c r="W23" s="10"/>
      <c r="X23" s="62"/>
      <c r="Y23" s="10"/>
      <c r="Z23" s="6" t="str">
        <f>HYPERLINK(changeFileExtension(Z$24,"_log.txt"))</f>
        <v/>
      </c>
      <c r="AA23" s="10"/>
      <c r="AB23" s="6" t="str">
        <f>HYPERLINK(changeFileExtension(AB$24,"_log.txt"))</f>
        <v/>
      </c>
      <c r="AC23" s="10"/>
      <c r="AD23" s="6" t="str">
        <f>HYPERLINK(changeFileExtension(AD$24,"_log.txt"))</f>
        <v/>
      </c>
      <c r="AE23" s="10"/>
      <c r="AF23" s="6" t="str">
        <f>HYPERLINK(changeFileExtension(AF$24,"_log.txt"))</f>
        <v/>
      </c>
      <c r="AG23" s="10"/>
      <c r="AH23" s="6" t="str">
        <f>HYPERLINK(changeFileExtension(AH$24,"_log.txt"))</f>
        <v/>
      </c>
      <c r="AI23" s="10"/>
      <c r="AJ23" s="6" t="str">
        <f>HYPERLINK(changeFileExtension(AJ$24,"_log.txt"))</f>
        <v/>
      </c>
      <c r="AK23" s="10"/>
      <c r="AL23" s="6" t="str">
        <f>HYPERLINK(changeFileExtension(AL$24,"_log.txt"))</f>
        <v/>
      </c>
      <c r="AM23" s="10"/>
      <c r="AN23" s="6" t="str">
        <f>HYPERLINK(changeFileExtension(AN$24,"_log.txt"))</f>
        <v/>
      </c>
      <c r="AO23" s="10"/>
      <c r="AP23" s="6" t="str">
        <f>HYPERLINK(changeFileExtension(AP$24,"_log.txt"))</f>
        <v/>
      </c>
      <c r="AQ23" s="10"/>
      <c r="AR23" s="6" t="str">
        <f>HYPERLINK(changeFileExtension(AR$24,"_log.txt"))</f>
        <v/>
      </c>
      <c r="AS23" s="10"/>
      <c r="AT23" s="6" t="str">
        <f>HYPERLINK(changeFileExtension(AT$24,"_log.txt"))</f>
        <v/>
      </c>
      <c r="AU23" s="10"/>
      <c r="AV23" s="6" t="str">
        <f>HYPERLINK(changeFileExtension(AV$24,"_log.txt"))</f>
        <v/>
      </c>
      <c r="AW23" s="10"/>
      <c r="AX23" s="6" t="str">
        <f>HYPERLINK(changeFileExtension(AX$24,"_log.txt"))</f>
        <v/>
      </c>
      <c r="AY23" s="10"/>
      <c r="AZ23" s="6" t="str">
        <f>HYPERLINK(changeFileExtension(AZ$24,"_log.txt"))</f>
        <v/>
      </c>
      <c r="BA23" s="10"/>
      <c r="BB23" s="6" t="str">
        <f>HYPERLINK(changeFileExtension(BB$24,"_log.txt"))</f>
        <v/>
      </c>
      <c r="BC23" s="10"/>
      <c r="BD23" s="6" t="str">
        <f>HYPERLINK(changeFileExtension(BD$24,"_log.txt"))</f>
        <v/>
      </c>
      <c r="BE23" s="10"/>
      <c r="BF23" s="6" t="str">
        <f>HYPERLINK(changeFileExtension(BF$24,"_log.txt"))</f>
        <v/>
      </c>
      <c r="BG23" s="10"/>
      <c r="BH23" s="6" t="str">
        <f>HYPERLINK(changeFileExtension(BH$24,"_log.txt"))</f>
        <v/>
      </c>
      <c r="BI23" s="10"/>
    </row>
    <row r="24" spans="1:61" ht="18.75" x14ac:dyDescent="0.3">
      <c r="A24" s="13" t="s">
        <v>2</v>
      </c>
      <c r="B24" s="6" t="str">
        <f>IF(B19="","",HYPERLINK(IF(ISERROR(FIND("\",B19)),CONCATENATE(B19,"\",B19,".i"),CONCATENATE(B19,".i"))))</f>
        <v>BreakFlow\BreakFlow.i</v>
      </c>
      <c r="C24" s="11">
        <v>43741.51458333333</v>
      </c>
      <c r="D24" s="6" t="str">
        <f>IF(D19="","",HYPERLINK(IF(ISERROR(FIND("\",D19)),CONCATENATE(D19,"\",D19,".i"),CONCATENATE(D19,".i"))))</f>
        <v>Base\Base.i</v>
      </c>
      <c r="E24" s="11">
        <v>43741.300243055557</v>
      </c>
      <c r="F24" s="6" t="str">
        <f>IF(F19="","",HYPERLINK(IF(ISERROR(FIND("\",F19)),CONCATENATE(F19,"\",F19,".i"),CONCATENATE(F19,".i"))))</f>
        <v>ThermalExpansion\ThermalExpansion.i</v>
      </c>
      <c r="G24" s="11">
        <v>43741.868576388886</v>
      </c>
      <c r="H24" s="6" t="str">
        <f>IF(H19="","",HYPERLINK(IF(ISERROR(FIND("\",H19)),CONCATENATE(H19,"\",H19,".i"),CONCATENATE(H19,".i"))))</f>
        <v/>
      </c>
      <c r="I24" s="11"/>
      <c r="J24" s="6" t="str">
        <f>IF(J19="","",HYPERLINK(IF(ISERROR(FIND("\",J19)),CONCATENATE(J19,"\",J19,".i"),CONCATENATE(J19,".i"))))</f>
        <v/>
      </c>
      <c r="K24" s="11"/>
      <c r="L24" s="6" t="str">
        <f>IF(L19="","",HYPERLINK(IF(ISERROR(FIND("\",L19)),CONCATENATE(L19,"\",L19,".i"),CONCATENATE(L19,".i"))))</f>
        <v/>
      </c>
      <c r="M24" s="11"/>
      <c r="N24" s="6" t="str">
        <f>IF(N19="","",HYPERLINK(IF(ISERROR(FIND("\",N19)),CONCATENATE(N19,"\",N19,".i"),CONCATENATE(N19,".i"))))</f>
        <v/>
      </c>
      <c r="O24" s="11"/>
      <c r="P24" s="6" t="str">
        <f>IF(P19="","",HYPERLINK(IF(ISERROR(FIND("\",P19)),CONCATENATE(P19,"\",P19,".i"),CONCATENATE(P19,".i"))))</f>
        <v/>
      </c>
      <c r="Q24" s="11"/>
      <c r="R24" s="6" t="str">
        <f>IF(R19="","",HYPERLINK(IF(ISERROR(FIND("\",R19)),CONCATENATE(R19,"\",R19,".i"),CONCATENATE(R19,".i"))))</f>
        <v/>
      </c>
      <c r="S24" s="11"/>
      <c r="T24" s="6" t="str">
        <f>IF(T19="","",HYPERLINK(IF(ISERROR(FIND("\",T19)),CONCATENATE(T19,"\",T19,".i"),CONCATENATE(T19,".i"))))</f>
        <v/>
      </c>
      <c r="U24" s="11"/>
      <c r="V24" s="6" t="str">
        <f>IF(V19="","",HYPERLINK(IF(ISERROR(FIND("\",V19)),CONCATENATE(V19,"\",V19,".i"),CONCATENATE(V19,".i"))))</f>
        <v/>
      </c>
      <c r="W24" s="11"/>
      <c r="X24" s="6" t="str">
        <f>IF(X19="","",HYPERLINK(IF(ISERROR(FIND("\",X19)),CONCATENATE(X19,"\",X19,".i"),CONCATENATE(X19,".i"))))</f>
        <v/>
      </c>
      <c r="Y24" s="11"/>
      <c r="Z24" s="6" t="str">
        <f>IF(Z19="","",HYPERLINK(IF(ISERROR(FIND("\",Z19)),CONCATENATE(Z19,"\",Z19,".i"),CONCATENATE(Z19,".i"))))</f>
        <v/>
      </c>
      <c r="AA24" s="11"/>
      <c r="AB24" s="6" t="str">
        <f>IF(AB19="","",HYPERLINK(IF(ISERROR(FIND("\",AB19)),CONCATENATE(AB19,"\",AB19,".i"),CONCATENATE(AB19,".i"))))</f>
        <v/>
      </c>
      <c r="AC24" s="11"/>
      <c r="AD24" s="6" t="str">
        <f>IF(AD19="","",HYPERLINK(IF(ISERROR(FIND("\",AD19)),CONCATENATE(AD19,"\",AD19,".i"),CONCATENATE(AD19,".i"))))</f>
        <v/>
      </c>
      <c r="AE24" s="11"/>
      <c r="AF24" s="6" t="str">
        <f>IF(AF19="","",HYPERLINK(IF(ISERROR(FIND("\",AF19)),CONCATENATE(AF19,"\",AF19,".i"),CONCATENATE(AF19,".i"))))</f>
        <v/>
      </c>
      <c r="AG24" s="11"/>
      <c r="AH24" s="6" t="str">
        <f>IF(AH19="","",HYPERLINK(IF(ISERROR(FIND("\",AH19)),CONCATENATE(AH19,"\",AH19,".i"),CONCATENATE(AH19,".i"))))</f>
        <v/>
      </c>
      <c r="AI24" s="11"/>
      <c r="AJ24" s="6" t="str">
        <f>IF(AJ19="","",HYPERLINK(IF(ISERROR(FIND("\",AJ19)),CONCATENATE(AJ19,"\",AJ19,".i"),CONCATENATE(AJ19,".i"))))</f>
        <v/>
      </c>
      <c r="AK24" s="11"/>
      <c r="AL24" s="6" t="str">
        <f>IF(AL19="","",HYPERLINK(IF(ISERROR(FIND("\",AL19)),CONCATENATE(AL19,"\",AL19,".i"),CONCATENATE(AL19,".i"))))</f>
        <v/>
      </c>
      <c r="AM24" s="11"/>
      <c r="AN24" s="6" t="str">
        <f>IF(AN19="","",HYPERLINK(IF(ISERROR(FIND("\",AN19)),CONCATENATE(AN19,"\",AN19,".i"),CONCATENATE(AN19,".i"))))</f>
        <v/>
      </c>
      <c r="AO24" s="11"/>
      <c r="AP24" s="6" t="str">
        <f>IF(AP19="","",HYPERLINK(IF(ISERROR(FIND("\",AP19)),CONCATENATE(AP19,"\",AP19,".i"),CONCATENATE(AP19,".i"))))</f>
        <v/>
      </c>
      <c r="AQ24" s="11"/>
      <c r="AR24" s="6" t="str">
        <f>IF(AR19="","",HYPERLINK(IF(ISERROR(FIND("\",AR19)),CONCATENATE(AR19,"\",AR19,".i"),CONCATENATE(AR19,".i"))))</f>
        <v/>
      </c>
      <c r="AS24" s="11"/>
      <c r="AT24" s="6" t="str">
        <f>IF(AT19="","",HYPERLINK(IF(ISERROR(FIND("\",AT19)),CONCATENATE(AT19,"\",AT19,".i"),CONCATENATE(AT19,".i"))))</f>
        <v/>
      </c>
      <c r="AU24" s="11"/>
      <c r="AV24" s="6" t="str">
        <f>IF(AV19="","",HYPERLINK(IF(ISERROR(FIND("\",AV19)),CONCATENATE(AV19,"\",AV19,".i"),CONCATENATE(AV19,".i"))))</f>
        <v/>
      </c>
      <c r="AW24" s="11"/>
      <c r="AX24" s="6" t="str">
        <f>IF(AX19="","",HYPERLINK(IF(ISERROR(FIND("\",AX19)),CONCATENATE(AX19,"\",AX19,".i"),CONCATENATE(AX19,".i"))))</f>
        <v/>
      </c>
      <c r="AY24" s="11"/>
      <c r="AZ24" s="6" t="str">
        <f>IF(AZ19="","",HYPERLINK(IF(ISERROR(FIND("\",AZ19)),CONCATENATE(AZ19,"\",AZ19,".i"),CONCATENATE(AZ19,".i"))))</f>
        <v/>
      </c>
      <c r="BA24" s="11"/>
      <c r="BB24" s="6" t="str">
        <f>IF(BB19="","",HYPERLINK(IF(ISERROR(FIND("\",BB19)),CONCATENATE(BB19,"\",BB19,".i"),CONCATENATE(BB19,".i"))))</f>
        <v/>
      </c>
      <c r="BC24" s="11"/>
      <c r="BD24" s="6" t="str">
        <f>IF(BD19="","",HYPERLINK(IF(ISERROR(FIND("\",BD19)),CONCATENATE(BD19,"\",BD19,".i"),CONCATENATE(BD19,".i"))))</f>
        <v/>
      </c>
      <c r="BE24" s="11"/>
      <c r="BF24" s="6" t="str">
        <f>IF(BF19="","",HYPERLINK(IF(ISERROR(FIND("\",BF19)),CONCATENATE(BF19,"\",BF19,".i"),CONCATENATE(BF19,".i"))))</f>
        <v/>
      </c>
      <c r="BG24" s="11"/>
      <c r="BH24" s="6" t="str">
        <f>IF(BH19="","",HYPERLINK(IF(ISERROR(FIND("\",BH19)),CONCATENATE(BH19,"\",BH19,".i"),CONCATENATE(BH19,".i"))))</f>
        <v/>
      </c>
      <c r="BI24" s="11"/>
    </row>
    <row r="25" spans="1:61" ht="18.75" x14ac:dyDescent="0.3">
      <c r="A25" s="13" t="s">
        <v>3</v>
      </c>
      <c r="B25" s="6" t="str">
        <f>HYPERLINK(changeFileExtension(B$24,".o"))</f>
        <v>BreakFlow\BreakFlow.o</v>
      </c>
      <c r="C25" s="11">
        <v>43741.868321759262</v>
      </c>
      <c r="D25" s="6" t="str">
        <f>HYPERLINK(changeFileExtension(D$24,".o"))</f>
        <v>Base\Base.o</v>
      </c>
      <c r="E25" s="11">
        <v>43741.875601851854</v>
      </c>
      <c r="F25" s="6" t="str">
        <f>HYPERLINK(changeFileExtension(F$24,".o"))</f>
        <v>ThermalExpansion\ThermalExpansion.o</v>
      </c>
      <c r="G25" s="11">
        <v>43741.906238425923</v>
      </c>
      <c r="H25" s="6" t="str">
        <f>HYPERLINK(changeFileExtension(H$24,".o"))</f>
        <v/>
      </c>
      <c r="I25" s="11"/>
      <c r="J25" s="6" t="str">
        <f>HYPERLINK(changeFileExtension(J$24,".o"))</f>
        <v/>
      </c>
      <c r="K25" s="11"/>
      <c r="L25" s="6" t="str">
        <f>HYPERLINK(changeFileExtension(L$24,".o"))</f>
        <v/>
      </c>
      <c r="M25" s="11"/>
      <c r="N25" s="6" t="str">
        <f>HYPERLINK(changeFileExtension(N$24,".o"))</f>
        <v/>
      </c>
      <c r="O25" s="11"/>
      <c r="P25" s="6" t="str">
        <f>HYPERLINK(changeFileExtension(P$24,".o"))</f>
        <v/>
      </c>
      <c r="Q25" s="11"/>
      <c r="R25" s="6" t="str">
        <f>HYPERLINK(changeFileExtension(R$24,".o"))</f>
        <v/>
      </c>
      <c r="S25" s="11"/>
      <c r="T25" s="6" t="str">
        <f>HYPERLINK(changeFileExtension(T$24,".o"))</f>
        <v/>
      </c>
      <c r="U25" s="11"/>
      <c r="V25" s="6" t="str">
        <f>HYPERLINK(changeFileExtension(V$24,".o"))</f>
        <v/>
      </c>
      <c r="W25" s="11"/>
      <c r="X25" s="6" t="str">
        <f>HYPERLINK(changeFileExtension(X$24,".o"))</f>
        <v/>
      </c>
      <c r="Y25" s="11"/>
      <c r="Z25" s="6" t="str">
        <f>HYPERLINK(changeFileExtension(Z$24,".o"))</f>
        <v/>
      </c>
      <c r="AA25" s="11"/>
      <c r="AB25" s="6" t="str">
        <f>HYPERLINK(changeFileExtension(AB$24,".o"))</f>
        <v/>
      </c>
      <c r="AC25" s="11"/>
      <c r="AD25" s="6" t="str">
        <f>HYPERLINK(changeFileExtension(AD$24,".o"))</f>
        <v/>
      </c>
      <c r="AE25" s="11"/>
      <c r="AF25" s="6" t="str">
        <f>HYPERLINK(changeFileExtension(AF$24,".o"))</f>
        <v/>
      </c>
      <c r="AG25" s="11"/>
      <c r="AH25" s="6" t="str">
        <f>HYPERLINK(changeFileExtension(AH$24,".o"))</f>
        <v/>
      </c>
      <c r="AI25" s="11"/>
      <c r="AJ25" s="6" t="str">
        <f>HYPERLINK(changeFileExtension(AJ$24,".o"))</f>
        <v/>
      </c>
      <c r="AK25" s="11"/>
      <c r="AL25" s="6" t="str">
        <f>HYPERLINK(changeFileExtension(AL$24,".o"))</f>
        <v/>
      </c>
      <c r="AM25" s="11"/>
      <c r="AN25" s="6" t="str">
        <f>HYPERLINK(changeFileExtension(AN$24,".o"))</f>
        <v/>
      </c>
      <c r="AO25" s="11"/>
      <c r="AP25" s="6" t="str">
        <f>HYPERLINK(changeFileExtension(AP$24,".o"))</f>
        <v/>
      </c>
      <c r="AQ25" s="11"/>
      <c r="AR25" s="6" t="str">
        <f>HYPERLINK(changeFileExtension(AR$24,".o"))</f>
        <v/>
      </c>
      <c r="AS25" s="11"/>
      <c r="AT25" s="6" t="str">
        <f>HYPERLINK(changeFileExtension(AT$24,".o"))</f>
        <v/>
      </c>
      <c r="AU25" s="11"/>
      <c r="AV25" s="6" t="str">
        <f>HYPERLINK(changeFileExtension(AV$24,".o"))</f>
        <v/>
      </c>
      <c r="AW25" s="11"/>
      <c r="AX25" s="6" t="str">
        <f>HYPERLINK(changeFileExtension(AX$24,".o"))</f>
        <v/>
      </c>
      <c r="AY25" s="11"/>
      <c r="AZ25" s="6" t="str">
        <f>HYPERLINK(changeFileExtension(AZ$24,".o"))</f>
        <v/>
      </c>
      <c r="BA25" s="11"/>
      <c r="BB25" s="6" t="str">
        <f>HYPERLINK(changeFileExtension(BB$24,".o"))</f>
        <v/>
      </c>
      <c r="BC25" s="11"/>
      <c r="BD25" s="6" t="str">
        <f>HYPERLINK(changeFileExtension(BD$24,".o"))</f>
        <v/>
      </c>
      <c r="BE25" s="11"/>
      <c r="BF25" s="6" t="str">
        <f>HYPERLINK(changeFileExtension(BF$24,".o"))</f>
        <v/>
      </c>
      <c r="BG25" s="11"/>
      <c r="BH25" s="6" t="str">
        <f>HYPERLINK(changeFileExtension(BH$24,".o"))</f>
        <v/>
      </c>
      <c r="BI25" s="11"/>
    </row>
    <row r="26" spans="1:61" ht="18.75" x14ac:dyDescent="0.3">
      <c r="A26" s="13" t="s">
        <v>4</v>
      </c>
      <c r="B26" s="6" t="str">
        <f>IF(B19="","",IF(ISERROR(FIND("\",B19)),CONCATENATE(B19,"\",B19,".rst"),CONCATENATE(B19,".rst")))</f>
        <v>BreakFlow\BreakFlow.rst</v>
      </c>
      <c r="C26" s="11">
        <v>43741.868321759262</v>
      </c>
      <c r="D26" s="6" t="str">
        <f>IF(D19="","",IF(ISERROR(FIND("\",D19)),CONCATENATE(D19,"\",D19,".rst"),CONCATENATE(D19,".rst")))</f>
        <v>Base\Base.rst</v>
      </c>
      <c r="E26" s="11">
        <v>43741.875601851854</v>
      </c>
      <c r="F26" s="6" t="str">
        <f>IF(F19="","",IF(ISERROR(FIND("\",F19)),CONCATENATE(F19,"\",F19,".rst"),CONCATENATE(F19,".rst")))</f>
        <v>ThermalExpansion\ThermalExpansion.rst</v>
      </c>
      <c r="G26" s="11">
        <v>43741.906238425923</v>
      </c>
      <c r="H26" s="6" t="str">
        <f>HYPERLINK(changeFileExtension(H$24,".rst"))</f>
        <v/>
      </c>
      <c r="I26" s="11"/>
      <c r="J26" s="6" t="str">
        <f>HYPERLINK(changeFileExtension(J$24,".rst"))</f>
        <v/>
      </c>
      <c r="K26" s="11"/>
      <c r="L26" s="6" t="str">
        <f>HYPERLINK(changeFileExtension(L$24,".rst"))</f>
        <v/>
      </c>
      <c r="M26" s="11"/>
      <c r="N26" s="6" t="str">
        <f>HYPERLINK(changeFileExtension(N$24,".rst"))</f>
        <v/>
      </c>
      <c r="O26" s="11"/>
      <c r="P26" s="6" t="str">
        <f>HYPERLINK(changeFileExtension(P$24,".rst"))</f>
        <v/>
      </c>
      <c r="Q26" s="11"/>
      <c r="R26" s="6" t="str">
        <f>HYPERLINK(changeFileExtension(R$24,".rst"))</f>
        <v/>
      </c>
      <c r="S26" s="11"/>
      <c r="T26" s="6" t="str">
        <f>HYPERLINK(changeFileExtension(T$24,".rst"))</f>
        <v/>
      </c>
      <c r="U26" s="11"/>
      <c r="V26" s="6" t="str">
        <f>HYPERLINK(changeFileExtension(V$24,".rst"))</f>
        <v/>
      </c>
      <c r="W26" s="11"/>
      <c r="X26" s="6" t="str">
        <f>HYPERLINK(changeFileExtension(X$24,".rst"))</f>
        <v/>
      </c>
      <c r="Y26" s="11"/>
      <c r="Z26" s="6" t="str">
        <f>HYPERLINK(changeFileExtension(Z$24,".rst"))</f>
        <v/>
      </c>
      <c r="AA26" s="11"/>
      <c r="AB26" s="6" t="str">
        <f>HYPERLINK(changeFileExtension(AB$24,".rst"))</f>
        <v/>
      </c>
      <c r="AC26" s="11"/>
      <c r="AD26" s="6" t="str">
        <f>HYPERLINK(changeFileExtension(AD$24,".rst"))</f>
        <v/>
      </c>
      <c r="AE26" s="11"/>
      <c r="AF26" s="6" t="str">
        <f>HYPERLINK(changeFileExtension(AF$24,".rst"))</f>
        <v/>
      </c>
      <c r="AG26" s="11"/>
      <c r="AH26" s="6" t="str">
        <f>HYPERLINK(changeFileExtension(AH$24,".rst"))</f>
        <v/>
      </c>
      <c r="AI26" s="11"/>
      <c r="AJ26" s="6" t="str">
        <f>HYPERLINK(changeFileExtension(AJ$24,".rst"))</f>
        <v/>
      </c>
      <c r="AK26" s="11"/>
      <c r="AL26" s="6" t="str">
        <f>HYPERLINK(changeFileExtension(AL$24,".rst"))</f>
        <v/>
      </c>
      <c r="AM26" s="11"/>
      <c r="AN26" s="6" t="str">
        <f>HYPERLINK(changeFileExtension(AN$24,".rst"))</f>
        <v/>
      </c>
      <c r="AO26" s="11"/>
      <c r="AP26" s="6" t="str">
        <f>HYPERLINK(changeFileExtension(AP$24,".rst"))</f>
        <v/>
      </c>
      <c r="AQ26" s="11"/>
      <c r="AR26" s="6" t="str">
        <f>HYPERLINK(changeFileExtension(AR$24,".rst"))</f>
        <v/>
      </c>
      <c r="AS26" s="11"/>
      <c r="AT26" s="6" t="str">
        <f>HYPERLINK(changeFileExtension(AT$24,".rst"))</f>
        <v/>
      </c>
      <c r="AU26" s="11"/>
      <c r="AV26" s="6" t="str">
        <f>HYPERLINK(changeFileExtension(AV$24,".rst"))</f>
        <v/>
      </c>
      <c r="AW26" s="11"/>
      <c r="AX26" s="6" t="str">
        <f>HYPERLINK(changeFileExtension(AX$24,".rst"))</f>
        <v/>
      </c>
      <c r="AY26" s="11"/>
      <c r="AZ26" s="6" t="str">
        <f>HYPERLINK(changeFileExtension(AZ$24,".rst"))</f>
        <v/>
      </c>
      <c r="BA26" s="11"/>
      <c r="BB26" s="6" t="str">
        <f>HYPERLINK(changeFileExtension(BB$24,".rst"))</f>
        <v/>
      </c>
      <c r="BC26" s="11"/>
      <c r="BD26" s="6" t="str">
        <f>HYPERLINK(changeFileExtension(BD$24,".rst"))</f>
        <v/>
      </c>
      <c r="BE26" s="11"/>
      <c r="BF26" s="6" t="str">
        <f>HYPERLINK(changeFileExtension(BF$24,".rst"))</f>
        <v/>
      </c>
      <c r="BG26" s="11"/>
      <c r="BH26" s="6" t="str">
        <f>HYPERLINK(changeFileExtension(BH$24,".rst"))</f>
        <v/>
      </c>
      <c r="BI26" s="11"/>
    </row>
    <row r="27" spans="1:61" ht="18.75" x14ac:dyDescent="0.3">
      <c r="A27" s="13" t="s">
        <v>5</v>
      </c>
      <c r="B27" s="6" t="str">
        <f>IF(B19="","",IF(ISERROR(FIND("\",B19)),CONCATENATE(B19,"\",B19,".dmx"),CONCATENATE(B19,".dmx")))</f>
        <v>BreakFlow\BreakFlow.dmx</v>
      </c>
      <c r="C27" s="11">
        <v>43741.884409722225</v>
      </c>
      <c r="D27" s="6" t="str">
        <f>IF(D19="","",IF(ISERROR(FIND("\",D19)),CONCATENATE(D19,"\",D19,".dmx"),CONCATENATE(D19,".dmx")))</f>
        <v>Base\Base.dmx</v>
      </c>
      <c r="E27" s="11">
        <v>43741.886655092596</v>
      </c>
      <c r="F27" s="6" t="str">
        <f>IF(F19="","",IF(ISERROR(FIND("\",F19)),CONCATENATE(F19,"\",F19,".dmx"),CONCATENATE(F19,".dmx")))</f>
        <v>ThermalExpansion\ThermalExpansion.dmx</v>
      </c>
      <c r="G27" s="11">
        <v>43741.915868055556</v>
      </c>
      <c r="H27" s="6" t="str">
        <f>IF(H19="","",IF(ISERROR(FIND("\",H19)),CONCATENATE(H19,"\",H19,".dmx"),CONCATENATE(H19,".dmx")))</f>
        <v/>
      </c>
      <c r="I27" s="11"/>
      <c r="J27" s="6" t="str">
        <f>HYPERLINK(changeFileExtension(J$24,".dmx"))</f>
        <v/>
      </c>
      <c r="K27" s="11"/>
      <c r="L27" s="6" t="str">
        <f>HYPERLINK(changeFileExtension(L$24,".dmx"))</f>
        <v/>
      </c>
      <c r="M27" s="11"/>
      <c r="N27" s="6" t="str">
        <f>HYPERLINK(changeFileExtension(N$24,".dmx"))</f>
        <v/>
      </c>
      <c r="O27" s="11"/>
      <c r="P27" s="6" t="str">
        <f>HYPERLINK(changeFileExtension(P$24,".dmx"))</f>
        <v/>
      </c>
      <c r="Q27" s="11"/>
      <c r="R27" s="6" t="str">
        <f>HYPERLINK(changeFileExtension(R$24,".dmx"))</f>
        <v/>
      </c>
      <c r="S27" s="11"/>
      <c r="T27" s="6" t="str">
        <f>HYPERLINK(changeFileExtension(T$24,".dmx"))</f>
        <v/>
      </c>
      <c r="U27" s="11"/>
      <c r="V27" s="6" t="str">
        <f>HYPERLINK(changeFileExtension(V$24,".dmx"))</f>
        <v/>
      </c>
      <c r="W27" s="11"/>
      <c r="X27" s="6" t="str">
        <f>HYPERLINK(changeFileExtension(X$24,".dmx"))</f>
        <v/>
      </c>
      <c r="Y27" s="11"/>
      <c r="Z27" s="6" t="str">
        <f>HYPERLINK(changeFileExtension(Z$24,".dmx"))</f>
        <v/>
      </c>
      <c r="AA27" s="11"/>
      <c r="AB27" s="6" t="str">
        <f>HYPERLINK(changeFileExtension(AB$24,".dmx"))</f>
        <v/>
      </c>
      <c r="AC27" s="11"/>
      <c r="AD27" s="6" t="str">
        <f>HYPERLINK(changeFileExtension(AD$24,".dmx"))</f>
        <v/>
      </c>
      <c r="AE27" s="11"/>
      <c r="AF27" s="6" t="str">
        <f>HYPERLINK(changeFileExtension(AF$24,".dmx"))</f>
        <v/>
      </c>
      <c r="AG27" s="11"/>
      <c r="AH27" s="6" t="str">
        <f>HYPERLINK(changeFileExtension(AH$24,".dmx"))</f>
        <v/>
      </c>
      <c r="AI27" s="11"/>
      <c r="AJ27" s="6" t="str">
        <f>HYPERLINK(changeFileExtension(AJ$24,".dmx"))</f>
        <v/>
      </c>
      <c r="AK27" s="11"/>
      <c r="AL27" s="6" t="str">
        <f>HYPERLINK(changeFileExtension(AL$24,".dmx"))</f>
        <v/>
      </c>
      <c r="AM27" s="11"/>
      <c r="AN27" s="6" t="str">
        <f>HYPERLINK(changeFileExtension(AN$24,".dmx"))</f>
        <v/>
      </c>
      <c r="AO27" s="11"/>
      <c r="AP27" s="6" t="str">
        <f>HYPERLINK(changeFileExtension(AP$24,".dmx"))</f>
        <v/>
      </c>
      <c r="AQ27" s="11"/>
      <c r="AR27" s="6" t="str">
        <f>HYPERLINK(changeFileExtension(AR$24,".dmx"))</f>
        <v/>
      </c>
      <c r="AS27" s="11"/>
      <c r="AT27" s="6" t="str">
        <f>HYPERLINK(changeFileExtension(AT$24,".dmx"))</f>
        <v/>
      </c>
      <c r="AU27" s="11"/>
      <c r="AV27" s="6" t="str">
        <f>HYPERLINK(changeFileExtension(AV$24,".dmx"))</f>
        <v/>
      </c>
      <c r="AW27" s="11"/>
      <c r="AX27" s="6" t="str">
        <f>HYPERLINK(changeFileExtension(AX$24,".dmx"))</f>
        <v/>
      </c>
      <c r="AY27" s="11"/>
      <c r="AZ27" s="6" t="str">
        <f>HYPERLINK(changeFileExtension(AZ$24,".dmx"))</f>
        <v/>
      </c>
      <c r="BA27" s="11"/>
      <c r="BB27" s="6" t="str">
        <f>HYPERLINK(changeFileExtension(BB$24,".dmx"))</f>
        <v/>
      </c>
      <c r="BC27" s="11"/>
      <c r="BD27" s="6" t="str">
        <f>HYPERLINK(changeFileExtension(BD$24,".dmx"))</f>
        <v/>
      </c>
      <c r="BE27" s="11"/>
      <c r="BF27" s="6" t="str">
        <f>HYPERLINK(changeFileExtension(BF$24,".dmx"))</f>
        <v/>
      </c>
      <c r="BG27" s="11"/>
      <c r="BH27" s="6" t="str">
        <f>HYPERLINK(changeFileExtension(BH$24,".dmx"))</f>
        <v/>
      </c>
      <c r="BI27" s="11"/>
    </row>
    <row r="28" spans="1:61" ht="18.75" x14ac:dyDescent="0.3">
      <c r="A28" s="13" t="s">
        <v>6</v>
      </c>
      <c r="B28" s="5"/>
      <c r="C28" s="11"/>
      <c r="D28" s="5"/>
      <c r="E28" s="11"/>
      <c r="F28" s="5"/>
      <c r="G28" s="11"/>
      <c r="H28" s="5"/>
      <c r="I28" s="11"/>
      <c r="J28" s="5"/>
      <c r="K28" s="11"/>
      <c r="L28" s="5"/>
      <c r="M28" s="11"/>
      <c r="N28" s="5"/>
      <c r="O28" s="11"/>
      <c r="P28" s="5"/>
      <c r="Q28" s="11"/>
      <c r="R28" s="5"/>
      <c r="S28" s="11"/>
      <c r="T28" s="5"/>
      <c r="U28" s="11"/>
      <c r="V28" s="5"/>
      <c r="W28" s="11"/>
      <c r="X28" s="5"/>
      <c r="Y28" s="11"/>
      <c r="Z28" s="5"/>
      <c r="AA28" s="11"/>
      <c r="AB28" s="5"/>
      <c r="AC28" s="11"/>
      <c r="AD28" s="5"/>
      <c r="AE28" s="11"/>
      <c r="AF28" s="5"/>
      <c r="AG28" s="11"/>
      <c r="AH28" s="5"/>
      <c r="AI28" s="11"/>
      <c r="AJ28" s="5"/>
      <c r="AK28" s="11"/>
      <c r="AL28" s="5"/>
      <c r="AM28" s="11"/>
      <c r="AN28" s="5"/>
      <c r="AO28" s="11"/>
      <c r="AP28" s="5"/>
      <c r="AQ28" s="11"/>
      <c r="AR28" s="5"/>
      <c r="AS28" s="11"/>
      <c r="AT28" s="5"/>
      <c r="AU28" s="11"/>
      <c r="AV28" s="5"/>
      <c r="AW28" s="11"/>
      <c r="AX28" s="5"/>
      <c r="AY28" s="11"/>
      <c r="AZ28" s="5"/>
      <c r="BA28" s="11"/>
      <c r="BB28" s="5"/>
      <c r="BC28" s="11"/>
      <c r="BD28" s="5"/>
      <c r="BE28" s="11"/>
      <c r="BF28" s="5"/>
      <c r="BG28" s="11"/>
      <c r="BH28" s="5"/>
      <c r="BI28" s="11"/>
    </row>
    <row r="29" spans="1:61" ht="18.75" x14ac:dyDescent="0.3">
      <c r="A29" s="13" t="s">
        <v>11</v>
      </c>
      <c r="B29" s="5"/>
      <c r="C29" s="11"/>
      <c r="D29" s="5"/>
      <c r="E29" s="11"/>
      <c r="F29" s="5"/>
      <c r="G29" s="11"/>
      <c r="H29" s="5"/>
      <c r="I29" s="11"/>
      <c r="J29" s="5"/>
      <c r="K29" s="11"/>
      <c r="L29" s="5"/>
      <c r="M29" s="11"/>
      <c r="N29" s="5"/>
      <c r="O29" s="11"/>
      <c r="P29" s="5"/>
      <c r="Q29" s="11"/>
      <c r="R29" s="5"/>
      <c r="S29" s="11"/>
      <c r="T29" s="5"/>
      <c r="U29" s="11"/>
      <c r="V29" s="5"/>
      <c r="W29" s="11"/>
      <c r="X29" s="5"/>
      <c r="Y29" s="11"/>
      <c r="Z29" s="5"/>
      <c r="AA29" s="11"/>
      <c r="AB29" s="5"/>
      <c r="AC29" s="11"/>
      <c r="AD29" s="5"/>
      <c r="AE29" s="11"/>
      <c r="AF29" s="5"/>
      <c r="AG29" s="11"/>
      <c r="AH29" s="5"/>
      <c r="AI29" s="11"/>
      <c r="AJ29" s="5"/>
      <c r="AK29" s="11"/>
      <c r="AL29" s="5"/>
      <c r="AM29" s="11"/>
      <c r="AN29" s="5"/>
      <c r="AO29" s="11"/>
      <c r="AP29" s="5"/>
      <c r="AQ29" s="11"/>
      <c r="AR29" s="5"/>
      <c r="AS29" s="11"/>
      <c r="AT29" s="5"/>
      <c r="AU29" s="11"/>
      <c r="AV29" s="5"/>
      <c r="AW29" s="11"/>
      <c r="AX29" s="5"/>
      <c r="AY29" s="11"/>
      <c r="AZ29" s="5"/>
      <c r="BA29" s="11"/>
      <c r="BB29" s="5"/>
      <c r="BC29" s="11"/>
      <c r="BD29" s="5"/>
      <c r="BE29" s="11"/>
      <c r="BF29" s="5"/>
      <c r="BG29" s="11"/>
      <c r="BH29" s="5"/>
      <c r="BI29" s="11"/>
    </row>
    <row r="30" spans="1:61" ht="18.75" x14ac:dyDescent="0.3">
      <c r="A30" s="13" t="s">
        <v>7</v>
      </c>
      <c r="B30" s="6" t="str">
        <f>HYPERLINK(changeFileExtension(B$24,".str"))</f>
        <v>BreakFlow\BreakFlow.str</v>
      </c>
      <c r="C30" s="11">
        <v>43741.883229166669</v>
      </c>
      <c r="D30" s="6" t="str">
        <f>HYPERLINK(changeFileExtension(D$24,".str"))</f>
        <v>Base\Base.str</v>
      </c>
      <c r="E30" s="11">
        <v>43741.885277777779</v>
      </c>
      <c r="F30" s="6" t="str">
        <f>HYPERLINK(changeFileExtension(F$24,".str"))</f>
        <v>ThermalExpansion\ThermalExpansion.str</v>
      </c>
      <c r="G30" s="11">
        <v>43741.908460648148</v>
      </c>
      <c r="H30" s="6" t="str">
        <f>HYPERLINK(changeFileExtension(H$24,".str"))</f>
        <v/>
      </c>
      <c r="I30" s="11"/>
      <c r="J30" s="6" t="str">
        <f>HYPERLINK(changeFileExtension(J$24,".str"))</f>
        <v/>
      </c>
      <c r="K30" s="11"/>
      <c r="L30" s="6" t="str">
        <f>HYPERLINK(changeFileExtension(L$24,".str"))</f>
        <v/>
      </c>
      <c r="M30" s="11"/>
      <c r="N30" s="6" t="str">
        <f>HYPERLINK(changeFileExtension(N$24,".str"))</f>
        <v/>
      </c>
      <c r="O30" s="11"/>
      <c r="P30" s="6" t="str">
        <f>HYPERLINK(changeFileExtension(P$24,".str"))</f>
        <v/>
      </c>
      <c r="Q30" s="11"/>
      <c r="R30" s="6" t="str">
        <f>HYPERLINK(changeFileExtension(R$24,".str"))</f>
        <v/>
      </c>
      <c r="S30" s="11"/>
      <c r="T30" s="6" t="str">
        <f>HYPERLINK(changeFileExtension(T$24,".str"))</f>
        <v/>
      </c>
      <c r="U30" s="11"/>
      <c r="V30" s="6" t="str">
        <f>HYPERLINK(changeFileExtension(V$24,".str"))</f>
        <v/>
      </c>
      <c r="W30" s="11"/>
      <c r="X30" s="6" t="str">
        <f>HYPERLINK(changeFileExtension(X$24,".str"))</f>
        <v/>
      </c>
      <c r="Y30" s="11"/>
      <c r="Z30" s="6" t="str">
        <f>HYPERLINK(changeFileExtension(Z$24,".str"))</f>
        <v/>
      </c>
      <c r="AA30" s="11"/>
      <c r="AB30" s="6" t="str">
        <f>HYPERLINK(changeFileExtension(AB$24,".str"))</f>
        <v/>
      </c>
      <c r="AC30" s="11"/>
      <c r="AD30" s="6" t="str">
        <f>HYPERLINK(changeFileExtension(AD$24,".str"))</f>
        <v/>
      </c>
      <c r="AE30" s="11"/>
      <c r="AF30" s="6" t="str">
        <f>HYPERLINK(changeFileExtension(AF$24,".str"))</f>
        <v/>
      </c>
      <c r="AG30" s="11"/>
      <c r="AH30" s="6" t="str">
        <f>HYPERLINK(changeFileExtension(AH$24,".str"))</f>
        <v/>
      </c>
      <c r="AI30" s="11"/>
      <c r="AJ30" s="6" t="str">
        <f>HYPERLINK(changeFileExtension(AJ$24,".str"))</f>
        <v/>
      </c>
      <c r="AK30" s="11"/>
      <c r="AL30" s="6" t="str">
        <f>HYPERLINK(changeFileExtension(AL$24,".str"))</f>
        <v/>
      </c>
      <c r="AM30" s="11"/>
      <c r="AN30" s="6" t="str">
        <f>HYPERLINK(changeFileExtension(AN$24,".str"))</f>
        <v/>
      </c>
      <c r="AO30" s="11"/>
      <c r="AP30" s="6" t="str">
        <f>HYPERLINK(changeFileExtension(AP$24,".str"))</f>
        <v/>
      </c>
      <c r="AQ30" s="11"/>
      <c r="AR30" s="6" t="str">
        <f>HYPERLINK(changeFileExtension(AR$24,".str"))</f>
        <v/>
      </c>
      <c r="AS30" s="11"/>
      <c r="AT30" s="6" t="str">
        <f>HYPERLINK(changeFileExtension(AT$24,".str"))</f>
        <v/>
      </c>
      <c r="AU30" s="11"/>
      <c r="AV30" s="6" t="str">
        <f>HYPERLINK(changeFileExtension(AV$24,".str"))</f>
        <v/>
      </c>
      <c r="AW30" s="11"/>
      <c r="AX30" s="6" t="str">
        <f>HYPERLINK(changeFileExtension(AX$24,".str"))</f>
        <v/>
      </c>
      <c r="AY30" s="11"/>
      <c r="AZ30" s="6" t="str">
        <f>HYPERLINK(changeFileExtension(AZ$24,".str"))</f>
        <v/>
      </c>
      <c r="BA30" s="11"/>
      <c r="BB30" s="6" t="str">
        <f>HYPERLINK(changeFileExtension(BB$24,".str"))</f>
        <v/>
      </c>
      <c r="BC30" s="11"/>
      <c r="BD30" s="6" t="str">
        <f>HYPERLINK(changeFileExtension(BD$24,".str"))</f>
        <v/>
      </c>
      <c r="BE30" s="11"/>
      <c r="BF30" s="6" t="str">
        <f>HYPERLINK(changeFileExtension(BF$24,".str"))</f>
        <v/>
      </c>
      <c r="BG30" s="11"/>
      <c r="BH30" s="6" t="str">
        <f>HYPERLINK(changeFileExtension(BH$24,".str"))</f>
        <v/>
      </c>
      <c r="BI30" s="11"/>
    </row>
    <row r="31" spans="1:61" ht="18.75" x14ac:dyDescent="0.3">
      <c r="A31" s="13" t="s">
        <v>37</v>
      </c>
      <c r="B31" s="6" t="str">
        <f>HYPERLINK(changeFileExtension(B$24,".csv"))</f>
        <v>BreakFlow\BreakFlow.csv</v>
      </c>
      <c r="C31" s="11">
        <v>43741.884432870371</v>
      </c>
      <c r="D31" s="6" t="str">
        <f>HYPERLINK(changeFileExtension(D$24,".csv"))</f>
        <v>Base\Base.csv</v>
      </c>
      <c r="E31" s="11">
        <v>43741.886678240742</v>
      </c>
      <c r="F31" s="6" t="str">
        <f>HYPERLINK(changeFileExtension(F$24,".csv"))</f>
        <v>ThermalExpansion\ThermalExpansion.csv</v>
      </c>
      <c r="G31" s="11">
        <v>43741.908553240741</v>
      </c>
      <c r="H31" s="6" t="str">
        <f>HYPERLINK(changeFileExtension(H$24,".csv"))</f>
        <v/>
      </c>
      <c r="I31" s="11"/>
      <c r="J31" s="6" t="str">
        <f>HYPERLINK(changeFileExtension(J$24,".csv"))</f>
        <v/>
      </c>
      <c r="K31" s="11"/>
      <c r="L31" s="6" t="str">
        <f>HYPERLINK(changeFileExtension(L$24,".csv"))</f>
        <v/>
      </c>
      <c r="M31" s="11"/>
      <c r="N31" s="6" t="str">
        <f>HYPERLINK(changeFileExtension(N$24,".csv"))</f>
        <v/>
      </c>
      <c r="O31" s="11"/>
      <c r="P31" s="6" t="str">
        <f>HYPERLINK(changeFileExtension(P$24,".csv"))</f>
        <v/>
      </c>
      <c r="Q31" s="11"/>
      <c r="R31" s="6" t="str">
        <f>HYPERLINK(changeFileExtension(R$24,".csv"))</f>
        <v/>
      </c>
      <c r="S31" s="11"/>
      <c r="T31" s="6" t="str">
        <f>HYPERLINK(changeFileExtension(T$24,".csv"))</f>
        <v/>
      </c>
      <c r="U31" s="11"/>
      <c r="V31" s="6" t="str">
        <f>HYPERLINK(changeFileExtension(V$24,".csv"))</f>
        <v/>
      </c>
      <c r="W31" s="11"/>
      <c r="X31" s="6" t="str">
        <f>HYPERLINK(changeFileExtension(X$24,".csv"))</f>
        <v/>
      </c>
      <c r="Y31" s="11"/>
      <c r="Z31" s="6"/>
      <c r="AA31" s="11"/>
      <c r="AB31" s="6"/>
      <c r="AC31" s="11"/>
      <c r="AD31" s="6"/>
      <c r="AE31" s="11"/>
      <c r="AF31" s="6"/>
      <c r="AG31" s="11"/>
      <c r="AH31" s="6"/>
      <c r="AI31" s="11"/>
      <c r="AJ31" s="6"/>
      <c r="AK31" s="11"/>
      <c r="AL31" s="6"/>
      <c r="AM31" s="11"/>
      <c r="AN31" s="6"/>
      <c r="AO31" s="11"/>
      <c r="AP31" s="6"/>
      <c r="AQ31" s="11"/>
      <c r="AR31" s="6"/>
      <c r="AS31" s="11"/>
      <c r="AT31" s="6"/>
      <c r="AU31" s="11"/>
      <c r="AV31" s="6"/>
      <c r="AW31" s="11"/>
      <c r="AX31" s="6"/>
      <c r="AY31" s="11"/>
      <c r="AZ31" s="6"/>
      <c r="BA31" s="11"/>
      <c r="BB31" s="6"/>
      <c r="BC31" s="11"/>
      <c r="BD31" s="6"/>
      <c r="BE31" s="11"/>
      <c r="BF31" s="6"/>
      <c r="BG31" s="11"/>
      <c r="BH31" s="6"/>
      <c r="BI31" s="11"/>
    </row>
    <row r="32" spans="1:61" ht="18.75" x14ac:dyDescent="0.3">
      <c r="A32" s="13" t="s">
        <v>8</v>
      </c>
      <c r="B32" s="6" t="str">
        <f>HYPERLINK(changeFileExtension(B$24,".ps"))</f>
        <v>BreakFlow\BreakFlow.ps</v>
      </c>
      <c r="C32" s="11">
        <v>43741.892210648148</v>
      </c>
      <c r="D32" s="6" t="str">
        <f>HYPERLINK(changeFileExtension(D$24,".ps"))</f>
        <v>Base\Base.ps</v>
      </c>
      <c r="E32" s="11">
        <v>43741.893831018519</v>
      </c>
      <c r="F32" s="6" t="str">
        <f>HYPERLINK(changeFileExtension(F$24,".ps"))</f>
        <v>ThermalExpansion\ThermalExpansion.ps</v>
      </c>
      <c r="G32" s="11">
        <v>43741.914664351854</v>
      </c>
      <c r="H32" s="6" t="str">
        <f>HYPERLINK(changeFileExtension(H$24,".ps"))</f>
        <v/>
      </c>
      <c r="I32" s="11"/>
      <c r="J32" s="6" t="str">
        <f>HYPERLINK(changeFileExtension(J$24,".ps"))</f>
        <v/>
      </c>
      <c r="K32" s="11"/>
      <c r="L32" s="6" t="str">
        <f>HYPERLINK(changeFileExtension(L$24,".ps"))</f>
        <v/>
      </c>
      <c r="M32" s="11"/>
      <c r="N32" s="6" t="str">
        <f>HYPERLINK(changeFileExtension(N$24,".ps"))</f>
        <v/>
      </c>
      <c r="O32" s="11"/>
      <c r="P32" s="6" t="str">
        <f>HYPERLINK(changeFileExtension(P$24,".ps"))</f>
        <v/>
      </c>
      <c r="Q32" s="11"/>
      <c r="R32" s="6" t="str">
        <f>HYPERLINK(changeFileExtension(R$24,".ps"))</f>
        <v/>
      </c>
      <c r="S32" s="11"/>
      <c r="T32" s="6" t="str">
        <f>HYPERLINK(changeFileExtension(T$24,".ps"))</f>
        <v/>
      </c>
      <c r="U32" s="11"/>
      <c r="V32" s="6" t="str">
        <f>HYPERLINK(changeFileExtension(V$24,".ps"))</f>
        <v/>
      </c>
      <c r="W32" s="11"/>
      <c r="X32" s="6" t="str">
        <f>HYPERLINK(changeFileExtension(X$24,".ps"))</f>
        <v/>
      </c>
      <c r="Y32" s="11"/>
      <c r="Z32" s="6" t="str">
        <f>HYPERLINK(changeFileExtension(Z$24,".ps"))</f>
        <v/>
      </c>
      <c r="AA32" s="11"/>
      <c r="AB32" s="6" t="str">
        <f>HYPERLINK(changeFileExtension(AB$24,".ps"))</f>
        <v/>
      </c>
      <c r="AC32" s="11"/>
      <c r="AD32" s="6" t="str">
        <f>HYPERLINK(changeFileExtension(AD$24,".ps"))</f>
        <v/>
      </c>
      <c r="AE32" s="11"/>
      <c r="AF32" s="6" t="str">
        <f>HYPERLINK(changeFileExtension(AF$24,".ps"))</f>
        <v/>
      </c>
      <c r="AG32" s="11"/>
      <c r="AH32" s="6" t="str">
        <f>HYPERLINK(changeFileExtension(AH$24,".ps"))</f>
        <v/>
      </c>
      <c r="AI32" s="11"/>
      <c r="AJ32" s="6" t="str">
        <f>HYPERLINK(changeFileExtension(AJ$24,".ps"))</f>
        <v/>
      </c>
      <c r="AK32" s="11"/>
      <c r="AL32" s="6" t="str">
        <f>HYPERLINK(changeFileExtension(AL$24,".ps"))</f>
        <v/>
      </c>
      <c r="AM32" s="11"/>
      <c r="AN32" s="6" t="str">
        <f>HYPERLINK(changeFileExtension(AN$24,".ps"))</f>
        <v/>
      </c>
      <c r="AO32" s="11"/>
      <c r="AP32" s="6" t="str">
        <f>HYPERLINK(changeFileExtension(AP$24,".ps"))</f>
        <v/>
      </c>
      <c r="AQ32" s="11"/>
      <c r="AR32" s="6" t="str">
        <f>HYPERLINK(changeFileExtension(AR$24,".ps"))</f>
        <v/>
      </c>
      <c r="AS32" s="11"/>
      <c r="AT32" s="6" t="str">
        <f>HYPERLINK(changeFileExtension(AT$24,".ps"))</f>
        <v/>
      </c>
      <c r="AU32" s="11"/>
      <c r="AV32" s="6" t="str">
        <f>HYPERLINK(changeFileExtension(AV$24,".ps"))</f>
        <v/>
      </c>
      <c r="AW32" s="11"/>
      <c r="AX32" s="6" t="str">
        <f>HYPERLINK(changeFileExtension(AX$24,".ps"))</f>
        <v/>
      </c>
      <c r="AY32" s="11"/>
      <c r="AZ32" s="6" t="str">
        <f>HYPERLINK(changeFileExtension(AZ$24,".ps"))</f>
        <v/>
      </c>
      <c r="BA32" s="11"/>
      <c r="BB32" s="6" t="str">
        <f>HYPERLINK(changeFileExtension(BB$24,".ps"))</f>
        <v/>
      </c>
      <c r="BC32" s="11"/>
      <c r="BD32" s="6" t="str">
        <f>HYPERLINK(changeFileExtension(BD$24,".ps"))</f>
        <v/>
      </c>
      <c r="BE32" s="11"/>
      <c r="BF32" s="6" t="str">
        <f>HYPERLINK(changeFileExtension(BF$24,".ps"))</f>
        <v/>
      </c>
      <c r="BG32" s="11"/>
      <c r="BH32" s="6" t="str">
        <f>HYPERLINK(changeFileExtension(BH$24,".ps"))</f>
        <v/>
      </c>
      <c r="BI32" s="11"/>
    </row>
    <row r="33" spans="1:61" ht="18.75" x14ac:dyDescent="0.3">
      <c r="A33" s="14" t="s">
        <v>9</v>
      </c>
      <c r="B33" s="7" t="str">
        <f>HYPERLINK(changeFileExtension(B$24,".pdf"))</f>
        <v>BreakFlow\BreakFlow.pdf</v>
      </c>
      <c r="C33" s="15">
        <v>43741.905405092592</v>
      </c>
      <c r="D33" s="7" t="str">
        <f>HYPERLINK(changeFileExtension(D$24,".pdf"))</f>
        <v>Base\Base.pdf</v>
      </c>
      <c r="E33" s="15">
        <v>43741.905347222222</v>
      </c>
      <c r="F33" s="7" t="str">
        <f>HYPERLINK(changeFileExtension(F$24,".pdf"))</f>
        <v>ThermalExpansion\ThermalExpansion.pdf</v>
      </c>
      <c r="G33" s="15">
        <v>43741.914976851855</v>
      </c>
      <c r="H33" s="7" t="str">
        <f>HYPERLINK(changeFileExtension(H$24,".pdf"))</f>
        <v/>
      </c>
      <c r="I33" s="15"/>
      <c r="J33" s="7" t="str">
        <f>HYPERLINK(changeFileExtension(J$24,".pdf"))</f>
        <v/>
      </c>
      <c r="K33" s="15"/>
      <c r="L33" s="7" t="str">
        <f>HYPERLINK(changeFileExtension(L$24,".pdf"))</f>
        <v/>
      </c>
      <c r="M33" s="15"/>
      <c r="N33" s="7" t="str">
        <f>HYPERLINK(changeFileExtension(N$24,".pdf"))</f>
        <v/>
      </c>
      <c r="O33" s="15"/>
      <c r="P33" s="7" t="str">
        <f>HYPERLINK(changeFileExtension(P$24,".pdf"))</f>
        <v/>
      </c>
      <c r="Q33" s="15"/>
      <c r="R33" s="7" t="str">
        <f>HYPERLINK(changeFileExtension(R$24,".pdf"))</f>
        <v/>
      </c>
      <c r="S33" s="15"/>
      <c r="T33" s="7" t="str">
        <f>HYPERLINK(changeFileExtension(T$24,".pdf"))</f>
        <v/>
      </c>
      <c r="U33" s="15"/>
      <c r="V33" s="7" t="str">
        <f>HYPERLINK(changeFileExtension(V$24,".pdf"))</f>
        <v/>
      </c>
      <c r="W33" s="15"/>
      <c r="X33" s="7" t="str">
        <f>HYPERLINK(changeFileExtension(X$24,".pdf"))</f>
        <v/>
      </c>
      <c r="Y33" s="15"/>
      <c r="Z33" s="7" t="str">
        <f>HYPERLINK(changeFileExtension(Z$24,".pdf"))</f>
        <v/>
      </c>
      <c r="AA33" s="15"/>
      <c r="AB33" s="7" t="str">
        <f>HYPERLINK(changeFileExtension(AB$24,".pdf"))</f>
        <v/>
      </c>
      <c r="AC33" s="15"/>
      <c r="AD33" s="7" t="str">
        <f>HYPERLINK(changeFileExtension(AD$24,".pdf"))</f>
        <v/>
      </c>
      <c r="AE33" s="15"/>
      <c r="AF33" s="7" t="str">
        <f>HYPERLINK(changeFileExtension(AF$24,".pdf"))</f>
        <v/>
      </c>
      <c r="AG33" s="15"/>
      <c r="AH33" s="7" t="str">
        <f>HYPERLINK(changeFileExtension(AH$24,".pdf"))</f>
        <v/>
      </c>
      <c r="AI33" s="15"/>
      <c r="AJ33" s="7" t="str">
        <f>HYPERLINK(changeFileExtension(AJ$24,".pdf"))</f>
        <v/>
      </c>
      <c r="AK33" s="15"/>
      <c r="AL33" s="7" t="str">
        <f>HYPERLINK(changeFileExtension(AL$24,".pdf"))</f>
        <v/>
      </c>
      <c r="AM33" s="15"/>
      <c r="AN33" s="7" t="str">
        <f>HYPERLINK(changeFileExtension(AN$24,".pdf"))</f>
        <v/>
      </c>
      <c r="AO33" s="15"/>
      <c r="AP33" s="7" t="str">
        <f>HYPERLINK(changeFileExtension(AP$24,".pdf"))</f>
        <v/>
      </c>
      <c r="AQ33" s="15"/>
      <c r="AR33" s="7" t="str">
        <f>HYPERLINK(changeFileExtension(AR$24,".pdf"))</f>
        <v/>
      </c>
      <c r="AS33" s="15"/>
      <c r="AT33" s="7" t="str">
        <f>HYPERLINK(changeFileExtension(AT$24,".pdf"))</f>
        <v/>
      </c>
      <c r="AU33" s="15"/>
      <c r="AV33" s="7" t="str">
        <f>HYPERLINK(changeFileExtension(AV$24,".pdf"))</f>
        <v/>
      </c>
      <c r="AW33" s="15"/>
      <c r="AX33" s="7" t="str">
        <f>HYPERLINK(changeFileExtension(AX$24,".pdf"))</f>
        <v/>
      </c>
      <c r="AY33" s="15"/>
      <c r="AZ33" s="7" t="str">
        <f>HYPERLINK(changeFileExtension(AZ$24,".pdf"))</f>
        <v/>
      </c>
      <c r="BA33" s="15"/>
      <c r="BB33" s="7" t="str">
        <f>HYPERLINK(changeFileExtension(BB$24,".pdf"))</f>
        <v/>
      </c>
      <c r="BC33" s="15"/>
      <c r="BD33" s="7" t="str">
        <f>HYPERLINK(changeFileExtension(BD$24,".pdf"))</f>
        <v/>
      </c>
      <c r="BE33" s="15"/>
      <c r="BF33" s="7" t="str">
        <f>HYPERLINK(changeFileExtension(BF$24,".pdf"))</f>
        <v/>
      </c>
      <c r="BG33" s="15"/>
      <c r="BH33" s="7" t="str">
        <f>HYPERLINK(changeFileExtension(BH$24,".pdf"))</f>
        <v/>
      </c>
      <c r="BI33" s="15"/>
    </row>
    <row r="36" spans="1:61" x14ac:dyDescent="0.25">
      <c r="B36" s="4"/>
      <c r="E36" s="30"/>
    </row>
    <row r="37" spans="1:61" x14ac:dyDescent="0.25">
      <c r="B37" s="1"/>
      <c r="C37" s="27"/>
    </row>
    <row r="38" spans="1:61" x14ac:dyDescent="0.25">
      <c r="B38" s="1"/>
    </row>
    <row r="39" spans="1:61" x14ac:dyDescent="0.25">
      <c r="B39" s="1"/>
    </row>
    <row r="40" spans="1:61" x14ac:dyDescent="0.25">
      <c r="B40" s="1"/>
      <c r="F40" s="2"/>
      <c r="G40" s="2"/>
      <c r="H40" s="2"/>
    </row>
    <row r="41" spans="1:61" x14ac:dyDescent="0.25">
      <c r="F41" s="2"/>
      <c r="G41" s="2"/>
      <c r="H41" s="2"/>
      <c r="K41" s="9"/>
    </row>
    <row r="42" spans="1:61" x14ac:dyDescent="0.25">
      <c r="B42" s="8"/>
      <c r="F42" s="2"/>
      <c r="G42" s="2"/>
      <c r="H42" s="2"/>
    </row>
    <row r="43" spans="1:61" x14ac:dyDescent="0.25">
      <c r="F43" s="2"/>
      <c r="G43" s="2"/>
      <c r="H43" s="2"/>
      <c r="K43" s="9"/>
    </row>
    <row r="44" spans="1:61" x14ac:dyDescent="0.25">
      <c r="F44" s="2"/>
      <c r="G44" s="2"/>
      <c r="H44" s="2"/>
    </row>
  </sheetData>
  <dataConsolidate/>
  <mergeCells count="317">
    <mergeCell ref="BF21:BG21"/>
    <mergeCell ref="BF22:BG22"/>
    <mergeCell ref="BH12:BI12"/>
    <mergeCell ref="BH13:BI13"/>
    <mergeCell ref="BH14:BI14"/>
    <mergeCell ref="BH15:BI15"/>
    <mergeCell ref="BH16:BI16"/>
    <mergeCell ref="BH17:BI17"/>
    <mergeCell ref="BH18:BI18"/>
    <mergeCell ref="BH19:BI19"/>
    <mergeCell ref="BH20:BI20"/>
    <mergeCell ref="BH21:BI21"/>
    <mergeCell ref="BH22:BI22"/>
    <mergeCell ref="BF12:BG12"/>
    <mergeCell ref="BF13:BG13"/>
    <mergeCell ref="BF14:BG14"/>
    <mergeCell ref="BF15:BG15"/>
    <mergeCell ref="BF16:BG16"/>
    <mergeCell ref="BF17:BG17"/>
    <mergeCell ref="BF18:BG18"/>
    <mergeCell ref="BF19:BG19"/>
    <mergeCell ref="BF20:BG20"/>
    <mergeCell ref="BB21:BC21"/>
    <mergeCell ref="BB22:BC22"/>
    <mergeCell ref="BD12:BE12"/>
    <mergeCell ref="BD13:BE13"/>
    <mergeCell ref="BD14:BE14"/>
    <mergeCell ref="BD15:BE15"/>
    <mergeCell ref="BD16:BE16"/>
    <mergeCell ref="BD17:BE17"/>
    <mergeCell ref="BD18:BE18"/>
    <mergeCell ref="BD19:BE19"/>
    <mergeCell ref="BD20:BE20"/>
    <mergeCell ref="BD21:BE21"/>
    <mergeCell ref="BD22:BE22"/>
    <mergeCell ref="BB12:BC12"/>
    <mergeCell ref="BB13:BC13"/>
    <mergeCell ref="BB14:BC14"/>
    <mergeCell ref="BB15:BC15"/>
    <mergeCell ref="BB16:BC16"/>
    <mergeCell ref="BB17:BC17"/>
    <mergeCell ref="BB18:BC18"/>
    <mergeCell ref="BB19:BC19"/>
    <mergeCell ref="BB20:BC20"/>
    <mergeCell ref="AX21:AY21"/>
    <mergeCell ref="AX22:AY22"/>
    <mergeCell ref="AZ12:BA12"/>
    <mergeCell ref="AZ13:BA13"/>
    <mergeCell ref="AZ14:BA14"/>
    <mergeCell ref="AZ15:BA15"/>
    <mergeCell ref="AZ16:BA16"/>
    <mergeCell ref="AZ17:BA17"/>
    <mergeCell ref="AZ18:BA18"/>
    <mergeCell ref="AZ19:BA19"/>
    <mergeCell ref="AZ20:BA20"/>
    <mergeCell ref="AZ21:BA21"/>
    <mergeCell ref="AZ22:BA22"/>
    <mergeCell ref="AX12:AY12"/>
    <mergeCell ref="AX13:AY13"/>
    <mergeCell ref="AX14:AY14"/>
    <mergeCell ref="AX15:AY15"/>
    <mergeCell ref="AX16:AY16"/>
    <mergeCell ref="AX17:AY17"/>
    <mergeCell ref="AX18:AY18"/>
    <mergeCell ref="AX19:AY19"/>
    <mergeCell ref="AX20:AY20"/>
    <mergeCell ref="AT21:AU21"/>
    <mergeCell ref="AT22:AU22"/>
    <mergeCell ref="AV12:AW12"/>
    <mergeCell ref="AV13:AW13"/>
    <mergeCell ref="AV14:AW14"/>
    <mergeCell ref="AV15:AW15"/>
    <mergeCell ref="AV16:AW16"/>
    <mergeCell ref="AV17:AW17"/>
    <mergeCell ref="AV18:AW18"/>
    <mergeCell ref="AV19:AW19"/>
    <mergeCell ref="AV20:AW20"/>
    <mergeCell ref="AV21:AW21"/>
    <mergeCell ref="AV22:AW22"/>
    <mergeCell ref="AT12:AU12"/>
    <mergeCell ref="AT13:AU13"/>
    <mergeCell ref="AT14:AU14"/>
    <mergeCell ref="AT15:AU15"/>
    <mergeCell ref="AT16:AU16"/>
    <mergeCell ref="AT17:AU17"/>
    <mergeCell ref="AT18:AU18"/>
    <mergeCell ref="AT19:AU19"/>
    <mergeCell ref="AT20:AU20"/>
    <mergeCell ref="AP21:AQ21"/>
    <mergeCell ref="AP22:AQ22"/>
    <mergeCell ref="AR12:AS12"/>
    <mergeCell ref="AR13:AS13"/>
    <mergeCell ref="AR14:AS14"/>
    <mergeCell ref="AR15:AS15"/>
    <mergeCell ref="AR16:AS16"/>
    <mergeCell ref="AR17:AS17"/>
    <mergeCell ref="AR18:AS18"/>
    <mergeCell ref="AR19:AS19"/>
    <mergeCell ref="AR20:AS20"/>
    <mergeCell ref="AR21:AS21"/>
    <mergeCell ref="AR22:AS22"/>
    <mergeCell ref="AP12:AQ12"/>
    <mergeCell ref="AP13:AQ13"/>
    <mergeCell ref="AP14:AQ14"/>
    <mergeCell ref="AP15:AQ15"/>
    <mergeCell ref="AP16:AQ16"/>
    <mergeCell ref="AP17:AQ17"/>
    <mergeCell ref="AP18:AQ18"/>
    <mergeCell ref="AP19:AQ19"/>
    <mergeCell ref="AP20:AQ20"/>
    <mergeCell ref="AL21:AM21"/>
    <mergeCell ref="AL22:AM22"/>
    <mergeCell ref="AN12:AO12"/>
    <mergeCell ref="AN13:AO13"/>
    <mergeCell ref="AN14:AO14"/>
    <mergeCell ref="AN15:AO15"/>
    <mergeCell ref="AN16:AO16"/>
    <mergeCell ref="AN17:AO17"/>
    <mergeCell ref="AN18:AO18"/>
    <mergeCell ref="AN19:AO19"/>
    <mergeCell ref="AN20:AO20"/>
    <mergeCell ref="AN21:AO21"/>
    <mergeCell ref="AN22:AO22"/>
    <mergeCell ref="AL12:AM12"/>
    <mergeCell ref="AL13:AM13"/>
    <mergeCell ref="AL14:AM14"/>
    <mergeCell ref="AL15:AM15"/>
    <mergeCell ref="AL16:AM16"/>
    <mergeCell ref="AL17:AM17"/>
    <mergeCell ref="AL18:AM18"/>
    <mergeCell ref="AL19:AM19"/>
    <mergeCell ref="AL20:AM20"/>
    <mergeCell ref="AH21:AI21"/>
    <mergeCell ref="AH22:AI22"/>
    <mergeCell ref="AJ12:AK12"/>
    <mergeCell ref="AJ13:AK13"/>
    <mergeCell ref="AJ14:AK14"/>
    <mergeCell ref="AJ15:AK15"/>
    <mergeCell ref="AJ16:AK16"/>
    <mergeCell ref="AJ17:AK17"/>
    <mergeCell ref="AJ18:AK18"/>
    <mergeCell ref="AJ19:AK19"/>
    <mergeCell ref="AJ20:AK20"/>
    <mergeCell ref="AJ21:AK21"/>
    <mergeCell ref="AJ22:AK22"/>
    <mergeCell ref="AH12:AI12"/>
    <mergeCell ref="AH13:AI13"/>
    <mergeCell ref="AH14:AI14"/>
    <mergeCell ref="AH15:AI15"/>
    <mergeCell ref="AH16:AI16"/>
    <mergeCell ref="AH17:AI17"/>
    <mergeCell ref="AH18:AI18"/>
    <mergeCell ref="AH19:AI19"/>
    <mergeCell ref="AH20:AI20"/>
    <mergeCell ref="AD21:AE21"/>
    <mergeCell ref="AD22:AE22"/>
    <mergeCell ref="AF12:AG12"/>
    <mergeCell ref="AF13:AG13"/>
    <mergeCell ref="AF14:AG14"/>
    <mergeCell ref="AF15:AG15"/>
    <mergeCell ref="AF16:AG16"/>
    <mergeCell ref="AF17:AG17"/>
    <mergeCell ref="AF18:AG18"/>
    <mergeCell ref="AF19:AG19"/>
    <mergeCell ref="AF20:AG20"/>
    <mergeCell ref="AF21:AG21"/>
    <mergeCell ref="AF22:AG22"/>
    <mergeCell ref="AD12:AE12"/>
    <mergeCell ref="AD13:AE13"/>
    <mergeCell ref="AD14:AE14"/>
    <mergeCell ref="AD15:AE15"/>
    <mergeCell ref="AD16:AE16"/>
    <mergeCell ref="AD17:AE17"/>
    <mergeCell ref="AD18:AE18"/>
    <mergeCell ref="AD19:AE19"/>
    <mergeCell ref="AD20:AE20"/>
    <mergeCell ref="Z21:AA21"/>
    <mergeCell ref="Z22:AA22"/>
    <mergeCell ref="AB12:AC12"/>
    <mergeCell ref="AB13:AC13"/>
    <mergeCell ref="AB14:AC14"/>
    <mergeCell ref="AB15:AC15"/>
    <mergeCell ref="AB16:AC16"/>
    <mergeCell ref="AB17:AC17"/>
    <mergeCell ref="AB18:AC18"/>
    <mergeCell ref="AB19:AC19"/>
    <mergeCell ref="AB20:AC20"/>
    <mergeCell ref="AB21:AC21"/>
    <mergeCell ref="AB22:AC22"/>
    <mergeCell ref="Z12:AA12"/>
    <mergeCell ref="Z13:AA13"/>
    <mergeCell ref="Z14:AA14"/>
    <mergeCell ref="Z15:AA15"/>
    <mergeCell ref="Z16:AA16"/>
    <mergeCell ref="Z17:AA17"/>
    <mergeCell ref="Z18:AA18"/>
    <mergeCell ref="Z19:AA19"/>
    <mergeCell ref="Z20:AA20"/>
    <mergeCell ref="F2:K2"/>
    <mergeCell ref="G7:J7"/>
    <mergeCell ref="G8:J8"/>
    <mergeCell ref="G9:J9"/>
    <mergeCell ref="G10:J10"/>
    <mergeCell ref="A8:C8"/>
    <mergeCell ref="G3:J3"/>
    <mergeCell ref="G4:J4"/>
    <mergeCell ref="G5:J5"/>
    <mergeCell ref="G6:J6"/>
    <mergeCell ref="V12:W12"/>
    <mergeCell ref="V16:W16"/>
    <mergeCell ref="V17:W17"/>
    <mergeCell ref="X12:Y12"/>
    <mergeCell ref="X16:Y16"/>
    <mergeCell ref="X17:Y17"/>
    <mergeCell ref="R12:S12"/>
    <mergeCell ref="R16:S16"/>
    <mergeCell ref="R17:S17"/>
    <mergeCell ref="T12:U12"/>
    <mergeCell ref="T16:U16"/>
    <mergeCell ref="T17:U17"/>
    <mergeCell ref="R13:S13"/>
    <mergeCell ref="R14:S14"/>
    <mergeCell ref="R15:S15"/>
    <mergeCell ref="T13:U13"/>
    <mergeCell ref="T14:U14"/>
    <mergeCell ref="T15:U15"/>
    <mergeCell ref="V13:W13"/>
    <mergeCell ref="V14:W14"/>
    <mergeCell ref="V15:W15"/>
    <mergeCell ref="X13:Y13"/>
    <mergeCell ref="X14:Y14"/>
    <mergeCell ref="X15:Y15"/>
    <mergeCell ref="N12:O12"/>
    <mergeCell ref="N16:O16"/>
    <mergeCell ref="N17:O17"/>
    <mergeCell ref="P12:Q12"/>
    <mergeCell ref="P16:Q16"/>
    <mergeCell ref="P17:Q17"/>
    <mergeCell ref="J12:K12"/>
    <mergeCell ref="J16:K16"/>
    <mergeCell ref="J17:K17"/>
    <mergeCell ref="L12:M12"/>
    <mergeCell ref="L16:M16"/>
    <mergeCell ref="L17:M17"/>
    <mergeCell ref="J13:K13"/>
    <mergeCell ref="J14:K14"/>
    <mergeCell ref="J15:K15"/>
    <mergeCell ref="L13:M13"/>
    <mergeCell ref="L14:M14"/>
    <mergeCell ref="L15:M15"/>
    <mergeCell ref="N13:O13"/>
    <mergeCell ref="N14:O14"/>
    <mergeCell ref="N15:O15"/>
    <mergeCell ref="P13:Q13"/>
    <mergeCell ref="P14:Q14"/>
    <mergeCell ref="P15:Q15"/>
    <mergeCell ref="H12:I12"/>
    <mergeCell ref="H16:I16"/>
    <mergeCell ref="H17:I17"/>
    <mergeCell ref="D12:E12"/>
    <mergeCell ref="D16:E16"/>
    <mergeCell ref="D17:E17"/>
    <mergeCell ref="H13:I13"/>
    <mergeCell ref="H14:I14"/>
    <mergeCell ref="H15:I15"/>
    <mergeCell ref="X18:Y18"/>
    <mergeCell ref="X19:Y19"/>
    <mergeCell ref="X20:Y20"/>
    <mergeCell ref="N19:O19"/>
    <mergeCell ref="N20:O20"/>
    <mergeCell ref="P18:Q18"/>
    <mergeCell ref="P19:Q19"/>
    <mergeCell ref="P20:Q20"/>
    <mergeCell ref="N18:O18"/>
    <mergeCell ref="R18:S18"/>
    <mergeCell ref="R19:S19"/>
    <mergeCell ref="R20:S20"/>
    <mergeCell ref="T18:U18"/>
    <mergeCell ref="T19:U19"/>
    <mergeCell ref="T20:U20"/>
    <mergeCell ref="V18:W18"/>
    <mergeCell ref="V19:W19"/>
    <mergeCell ref="V20:W20"/>
    <mergeCell ref="J18:K18"/>
    <mergeCell ref="J19:K19"/>
    <mergeCell ref="J20:K20"/>
    <mergeCell ref="L18:M18"/>
    <mergeCell ref="L19:M19"/>
    <mergeCell ref="L20:M20"/>
    <mergeCell ref="F18:G18"/>
    <mergeCell ref="F19:G19"/>
    <mergeCell ref="F20:G20"/>
    <mergeCell ref="H18:I18"/>
    <mergeCell ref="H19:I19"/>
    <mergeCell ref="H20:I20"/>
    <mergeCell ref="B18:C18"/>
    <mergeCell ref="B19:C19"/>
    <mergeCell ref="B20:C20"/>
    <mergeCell ref="D18:E18"/>
    <mergeCell ref="D19:E19"/>
    <mergeCell ref="D20:E20"/>
    <mergeCell ref="B13:C13"/>
    <mergeCell ref="B14:C14"/>
    <mergeCell ref="B15:C15"/>
    <mergeCell ref="A12:A17"/>
    <mergeCell ref="D13:E13"/>
    <mergeCell ref="D14:E14"/>
    <mergeCell ref="D15:E15"/>
    <mergeCell ref="F13:G13"/>
    <mergeCell ref="F14:G14"/>
    <mergeCell ref="F15:G15"/>
    <mergeCell ref="B12:C12"/>
    <mergeCell ref="B16:C16"/>
    <mergeCell ref="B17:C17"/>
    <mergeCell ref="F12:G12"/>
    <mergeCell ref="F16:G16"/>
    <mergeCell ref="F17:G17"/>
  </mergeCells>
  <conditionalFormatting sqref="B42">
    <cfRule type="expression" dxfId="104" priority="808" stopIfTrue="1">
      <formula>OR((COLUMN()-1)/4=ROUNDDOWN((COLUMN()-1)/4,0),(COLUMN()+0)/4=ROUNDDOWN((COLUMN()+0)/4,0))</formula>
    </cfRule>
  </conditionalFormatting>
  <conditionalFormatting sqref="Y25">
    <cfRule type="expression" dxfId="103" priority="240">
      <formula>Y25&lt;Y24</formula>
    </cfRule>
  </conditionalFormatting>
  <conditionalFormatting sqref="Y26">
    <cfRule type="expression" dxfId="102" priority="239">
      <formula>Y26&lt;Y24</formula>
    </cfRule>
  </conditionalFormatting>
  <conditionalFormatting sqref="Y27">
    <cfRule type="expression" dxfId="101" priority="238">
      <formula>OR(Y27&lt;Y24,Y27&lt;Y26)</formula>
    </cfRule>
  </conditionalFormatting>
  <conditionalFormatting sqref="Y30:Y31">
    <cfRule type="expression" dxfId="100" priority="237">
      <formula>OR(Y30&lt;Y24,Y30&lt;Y26)</formula>
    </cfRule>
  </conditionalFormatting>
  <conditionalFormatting sqref="Y32">
    <cfRule type="expression" dxfId="99" priority="236">
      <formula>OR(Y32&lt;Y24,Y32&lt;Y26,Y32&lt;Y30)</formula>
    </cfRule>
  </conditionalFormatting>
  <conditionalFormatting sqref="Y33">
    <cfRule type="expression" dxfId="98" priority="235">
      <formula>OR(Y33&lt;Y24,Y33&lt;Y26,Y33&lt;Y30,Y33&lt;Y32)</formula>
    </cfRule>
  </conditionalFormatting>
  <conditionalFormatting sqref="Y25">
    <cfRule type="expression" dxfId="97" priority="166">
      <formula>Y25&lt;Y24</formula>
    </cfRule>
  </conditionalFormatting>
  <conditionalFormatting sqref="Y26">
    <cfRule type="expression" dxfId="96" priority="165">
      <formula>Y26&lt;Y24</formula>
    </cfRule>
  </conditionalFormatting>
  <conditionalFormatting sqref="Y27">
    <cfRule type="expression" dxfId="95" priority="164">
      <formula>OR(Y27&lt;Y24,Y27&lt;Y26)</formula>
    </cfRule>
  </conditionalFormatting>
  <conditionalFormatting sqref="Y30:Y31">
    <cfRule type="expression" dxfId="94" priority="163">
      <formula>OR(Y30&lt;Y24,Y30&lt;Y26)</formula>
    </cfRule>
  </conditionalFormatting>
  <conditionalFormatting sqref="Y32">
    <cfRule type="expression" dxfId="93" priority="162">
      <formula>OR(Y32&lt;Y24,Y32&lt;Y26,Y32&lt;Y30)</formula>
    </cfRule>
  </conditionalFormatting>
  <conditionalFormatting sqref="Y33">
    <cfRule type="expression" dxfId="92" priority="161">
      <formula>OR(Y33&lt;Y24,Y33&lt;Y26,Y33&lt;Y30,Y33&lt;Y32)</formula>
    </cfRule>
  </conditionalFormatting>
  <conditionalFormatting sqref="Y25">
    <cfRule type="expression" dxfId="91" priority="92">
      <formula>Y25&lt;Y24</formula>
    </cfRule>
  </conditionalFormatting>
  <conditionalFormatting sqref="Y26">
    <cfRule type="expression" dxfId="90" priority="91">
      <formula>Y26&lt;Y24</formula>
    </cfRule>
  </conditionalFormatting>
  <conditionalFormatting sqref="Y27">
    <cfRule type="expression" dxfId="89" priority="90">
      <formula>OR(Y27&lt;Y24,Y27&lt;Y26)</formula>
    </cfRule>
  </conditionalFormatting>
  <conditionalFormatting sqref="Y30:Y31">
    <cfRule type="expression" dxfId="88" priority="89">
      <formula>OR(Y30&lt;Y24,Y30&lt;Y26)</formula>
    </cfRule>
  </conditionalFormatting>
  <conditionalFormatting sqref="Y32">
    <cfRule type="expression" dxfId="87" priority="88">
      <formula>OR(Y32&lt;Y24,Y32&lt;Y26,Y32&lt;Y30)</formula>
    </cfRule>
  </conditionalFormatting>
  <conditionalFormatting sqref="Y33">
    <cfRule type="expression" dxfId="86" priority="87">
      <formula>OR(Y33&lt;Y24,Y33&lt;Y26,Y33&lt;Y30,Y33&lt;Y32)</formula>
    </cfRule>
  </conditionalFormatting>
  <conditionalFormatting sqref="B23:X33">
    <cfRule type="expression" dxfId="85" priority="86">
      <formula>(ROW()+1)/2=ROUNDDOWN((ROW()+1)/2,0)</formula>
    </cfRule>
    <cfRule type="expression" dxfId="84" priority="85">
      <formula>ROW()/2=ROUNDDOWN(ROW()/2,0)</formula>
    </cfRule>
  </conditionalFormatting>
  <conditionalFormatting sqref="C25">
    <cfRule type="expression" dxfId="83" priority="84">
      <formula>C25&lt;C24</formula>
    </cfRule>
  </conditionalFormatting>
  <conditionalFormatting sqref="C26">
    <cfRule type="expression" dxfId="82" priority="83">
      <formula>C26&lt;C24</formula>
    </cfRule>
  </conditionalFormatting>
  <conditionalFormatting sqref="C27">
    <cfRule type="expression" dxfId="81" priority="82">
      <formula>OR(C27&lt;C24,C27&lt;C26)</formula>
    </cfRule>
  </conditionalFormatting>
  <conditionalFormatting sqref="C30">
    <cfRule type="expression" dxfId="80" priority="81">
      <formula>OR(C30&lt;C24,C30&lt;C26)</formula>
    </cfRule>
  </conditionalFormatting>
  <conditionalFormatting sqref="C31">
    <cfRule type="expression" dxfId="79" priority="80">
      <formula>OR(C31&lt;C24,C31&lt;C26,C31&lt;C30)</formula>
    </cfRule>
  </conditionalFormatting>
  <conditionalFormatting sqref="C32">
    <cfRule type="expression" dxfId="78" priority="79">
      <formula>OR(C32&lt;C24,C32&lt;C26,C32&lt;C30)</formula>
    </cfRule>
  </conditionalFormatting>
  <conditionalFormatting sqref="C33">
    <cfRule type="expression" dxfId="77" priority="78">
      <formula>OR(C33&lt;C24,C33&lt;C26,C33&lt;C30,C33&lt;C32)</formula>
    </cfRule>
  </conditionalFormatting>
  <conditionalFormatting sqref="E25">
    <cfRule type="expression" dxfId="76" priority="77">
      <formula>E25&lt;E24</formula>
    </cfRule>
  </conditionalFormatting>
  <conditionalFormatting sqref="E26">
    <cfRule type="expression" dxfId="75" priority="76">
      <formula>E26&lt;E24</formula>
    </cfRule>
  </conditionalFormatting>
  <conditionalFormatting sqref="E27">
    <cfRule type="expression" dxfId="74" priority="75">
      <formula>OR(E27&lt;E24,E27&lt;E26)</formula>
    </cfRule>
  </conditionalFormatting>
  <conditionalFormatting sqref="E30">
    <cfRule type="expression" dxfId="73" priority="74">
      <formula>OR(E30&lt;E24,E30&lt;E26)</formula>
    </cfRule>
  </conditionalFormatting>
  <conditionalFormatting sqref="E31">
    <cfRule type="expression" dxfId="72" priority="73">
      <formula>OR(E31&lt;E24,E31&lt;E26,E31&lt;E30)</formula>
    </cfRule>
  </conditionalFormatting>
  <conditionalFormatting sqref="E32">
    <cfRule type="expression" dxfId="71" priority="72">
      <formula>OR(E32&lt;E24,E32&lt;E26,E32&lt;E30)</formula>
    </cfRule>
  </conditionalFormatting>
  <conditionalFormatting sqref="E33">
    <cfRule type="expression" dxfId="70" priority="71">
      <formula>OR(E33&lt;E24,E33&lt;E26,E33&lt;E30,E33&lt;E32)</formula>
    </cfRule>
  </conditionalFormatting>
  <conditionalFormatting sqref="G25">
    <cfRule type="expression" dxfId="69" priority="70">
      <formula>G25&lt;G24</formula>
    </cfRule>
  </conditionalFormatting>
  <conditionalFormatting sqref="G26">
    <cfRule type="expression" dxfId="68" priority="69">
      <formula>G26&lt;G24</formula>
    </cfRule>
  </conditionalFormatting>
  <conditionalFormatting sqref="G27">
    <cfRule type="expression" dxfId="67" priority="68">
      <formula>OR(G27&lt;G24,G27&lt;G26)</formula>
    </cfRule>
  </conditionalFormatting>
  <conditionalFormatting sqref="G30">
    <cfRule type="expression" dxfId="66" priority="67">
      <formula>OR(G30&lt;G24,G30&lt;G26)</formula>
    </cfRule>
  </conditionalFormatting>
  <conditionalFormatting sqref="G31">
    <cfRule type="expression" dxfId="65" priority="66">
      <formula>OR(G31&lt;G24,G31&lt;G26,G31&lt;G30)</formula>
    </cfRule>
  </conditionalFormatting>
  <conditionalFormatting sqref="G32">
    <cfRule type="expression" dxfId="64" priority="65">
      <formula>OR(G32&lt;G24,G32&lt;G26,G32&lt;G30)</formula>
    </cfRule>
  </conditionalFormatting>
  <conditionalFormatting sqref="G33">
    <cfRule type="expression" dxfId="63" priority="64">
      <formula>OR(G33&lt;G24,G33&lt;G26,G33&lt;G30,G33&lt;G32)</formula>
    </cfRule>
  </conditionalFormatting>
  <conditionalFormatting sqref="I25">
    <cfRule type="expression" dxfId="62" priority="63">
      <formula>I25&lt;I24</formula>
    </cfRule>
  </conditionalFormatting>
  <conditionalFormatting sqref="I26">
    <cfRule type="expression" dxfId="61" priority="62">
      <formula>I26&lt;I24</formula>
    </cfRule>
  </conditionalFormatting>
  <conditionalFormatting sqref="I27">
    <cfRule type="expression" dxfId="60" priority="61">
      <formula>OR(I27&lt;I24,I27&lt;I26)</formula>
    </cfRule>
  </conditionalFormatting>
  <conditionalFormatting sqref="I30">
    <cfRule type="expression" dxfId="59" priority="60">
      <formula>OR(I30&lt;I24,I30&lt;I26)</formula>
    </cfRule>
  </conditionalFormatting>
  <conditionalFormatting sqref="I31">
    <cfRule type="expression" dxfId="58" priority="59">
      <formula>OR(I31&lt;I24,I31&lt;I26,I31&lt;I30)</formula>
    </cfRule>
  </conditionalFormatting>
  <conditionalFormatting sqref="I32">
    <cfRule type="expression" dxfId="57" priority="58">
      <formula>OR(I32&lt;I24,I32&lt;I26,I32&lt;I30)</formula>
    </cfRule>
  </conditionalFormatting>
  <conditionalFormatting sqref="I33">
    <cfRule type="expression" dxfId="56" priority="57">
      <formula>OR(I33&lt;I24,I33&lt;I26,I33&lt;I30,I33&lt;I32)</formula>
    </cfRule>
  </conditionalFormatting>
  <conditionalFormatting sqref="K25">
    <cfRule type="expression" dxfId="55" priority="56">
      <formula>K25&lt;K24</formula>
    </cfRule>
  </conditionalFormatting>
  <conditionalFormatting sqref="K26">
    <cfRule type="expression" dxfId="54" priority="55">
      <formula>K26&lt;K24</formula>
    </cfRule>
  </conditionalFormatting>
  <conditionalFormatting sqref="K27">
    <cfRule type="expression" dxfId="53" priority="54">
      <formula>OR(K27&lt;K24,K27&lt;K26)</formula>
    </cfRule>
  </conditionalFormatting>
  <conditionalFormatting sqref="K30">
    <cfRule type="expression" dxfId="52" priority="53">
      <formula>OR(K30&lt;K24,K30&lt;K26)</formula>
    </cfRule>
  </conditionalFormatting>
  <conditionalFormatting sqref="K31">
    <cfRule type="expression" dxfId="51" priority="52">
      <formula>OR(K31&lt;K24,K31&lt;K26,K31&lt;K30)</formula>
    </cfRule>
  </conditionalFormatting>
  <conditionalFormatting sqref="K32">
    <cfRule type="expression" dxfId="50" priority="51">
      <formula>OR(K32&lt;K24,K32&lt;K26,K32&lt;K30)</formula>
    </cfRule>
  </conditionalFormatting>
  <conditionalFormatting sqref="K33">
    <cfRule type="expression" dxfId="49" priority="50">
      <formula>OR(K33&lt;K24,K33&lt;K26,K33&lt;K30,K33&lt;K32)</formula>
    </cfRule>
  </conditionalFormatting>
  <conditionalFormatting sqref="M25">
    <cfRule type="expression" dxfId="48" priority="49">
      <formula>M25&lt;M24</formula>
    </cfRule>
  </conditionalFormatting>
  <conditionalFormatting sqref="M26">
    <cfRule type="expression" dxfId="47" priority="48">
      <formula>M26&lt;M24</formula>
    </cfRule>
  </conditionalFormatting>
  <conditionalFormatting sqref="M27">
    <cfRule type="expression" dxfId="46" priority="47">
      <formula>OR(M27&lt;M24,M27&lt;M26)</formula>
    </cfRule>
  </conditionalFormatting>
  <conditionalFormatting sqref="M30">
    <cfRule type="expression" dxfId="45" priority="46">
      <formula>OR(M30&lt;M24,M30&lt;M26)</formula>
    </cfRule>
  </conditionalFormatting>
  <conditionalFormatting sqref="M31">
    <cfRule type="expression" dxfId="44" priority="45">
      <formula>OR(M31&lt;M24,M31&lt;M26,M31&lt;M30)</formula>
    </cfRule>
  </conditionalFormatting>
  <conditionalFormatting sqref="M32">
    <cfRule type="expression" dxfId="43" priority="44">
      <formula>OR(M32&lt;M24,M32&lt;M26,M32&lt;M30)</formula>
    </cfRule>
  </conditionalFormatting>
  <conditionalFormatting sqref="M33">
    <cfRule type="expression" dxfId="42" priority="43">
      <formula>OR(M33&lt;M24,M33&lt;M26,M33&lt;M30,M33&lt;M32)</formula>
    </cfRule>
  </conditionalFormatting>
  <conditionalFormatting sqref="O25">
    <cfRule type="expression" dxfId="41" priority="42">
      <formula>O25&lt;O24</formula>
    </cfRule>
  </conditionalFormatting>
  <conditionalFormatting sqref="O26">
    <cfRule type="expression" dxfId="40" priority="41">
      <formula>O26&lt;O24</formula>
    </cfRule>
  </conditionalFormatting>
  <conditionalFormatting sqref="O27">
    <cfRule type="expression" dxfId="39" priority="40">
      <formula>OR(O27&lt;O24,O27&lt;O26)</formula>
    </cfRule>
  </conditionalFormatting>
  <conditionalFormatting sqref="O30">
    <cfRule type="expression" dxfId="38" priority="39">
      <formula>OR(O30&lt;O24,O30&lt;O26)</formula>
    </cfRule>
  </conditionalFormatting>
  <conditionalFormatting sqref="O31">
    <cfRule type="expression" dxfId="37" priority="38">
      <formula>OR(O31&lt;O24,O31&lt;O26,O31&lt;O30)</formula>
    </cfRule>
  </conditionalFormatting>
  <conditionalFormatting sqref="O32">
    <cfRule type="expression" dxfId="36" priority="37">
      <formula>OR(O32&lt;O24,O32&lt;O26,O32&lt;O30)</formula>
    </cfRule>
  </conditionalFormatting>
  <conditionalFormatting sqref="O33">
    <cfRule type="expression" dxfId="35" priority="36">
      <formula>OR(O33&lt;O24,O33&lt;O26,O33&lt;O30,O33&lt;O32)</formula>
    </cfRule>
  </conditionalFormatting>
  <conditionalFormatting sqref="Q25">
    <cfRule type="expression" dxfId="34" priority="35">
      <formula>Q25&lt;Q24</formula>
    </cfRule>
  </conditionalFormatting>
  <conditionalFormatting sqref="Q26">
    <cfRule type="expression" dxfId="33" priority="34">
      <formula>Q26&lt;Q24</formula>
    </cfRule>
  </conditionalFormatting>
  <conditionalFormatting sqref="Q27">
    <cfRule type="expression" dxfId="32" priority="33">
      <formula>OR(Q27&lt;Q24,Q27&lt;Q26)</formula>
    </cfRule>
  </conditionalFormatting>
  <conditionalFormatting sqref="Q30">
    <cfRule type="expression" dxfId="31" priority="32">
      <formula>OR(Q30&lt;Q24,Q30&lt;Q26)</formula>
    </cfRule>
  </conditionalFormatting>
  <conditionalFormatting sqref="Q31">
    <cfRule type="expression" dxfId="30" priority="31">
      <formula>OR(Q31&lt;Q24,Q31&lt;Q26,Q31&lt;Q30)</formula>
    </cfRule>
  </conditionalFormatting>
  <conditionalFormatting sqref="Q32">
    <cfRule type="expression" dxfId="29" priority="30">
      <formula>OR(Q32&lt;Q24,Q32&lt;Q26,Q32&lt;Q30)</formula>
    </cfRule>
  </conditionalFormatting>
  <conditionalFormatting sqref="Q33">
    <cfRule type="expression" dxfId="28" priority="29">
      <formula>OR(Q33&lt;Q24,Q33&lt;Q26,Q33&lt;Q30,Q33&lt;Q32)</formula>
    </cfRule>
  </conditionalFormatting>
  <conditionalFormatting sqref="S25">
    <cfRule type="expression" dxfId="27" priority="28">
      <formula>S25&lt;S24</formula>
    </cfRule>
  </conditionalFormatting>
  <conditionalFormatting sqref="S26">
    <cfRule type="expression" dxfId="26" priority="27">
      <formula>S26&lt;S24</formula>
    </cfRule>
  </conditionalFormatting>
  <conditionalFormatting sqref="S27">
    <cfRule type="expression" dxfId="25" priority="26">
      <formula>OR(S27&lt;S24,S27&lt;S26)</formula>
    </cfRule>
  </conditionalFormatting>
  <conditionalFormatting sqref="S30">
    <cfRule type="expression" dxfId="24" priority="25">
      <formula>OR(S30&lt;S24,S30&lt;S26)</formula>
    </cfRule>
  </conditionalFormatting>
  <conditionalFormatting sqref="S31">
    <cfRule type="expression" dxfId="23" priority="24">
      <formula>OR(S31&lt;S24,S31&lt;S26,S31&lt;S30)</formula>
    </cfRule>
  </conditionalFormatting>
  <conditionalFormatting sqref="S32">
    <cfRule type="expression" dxfId="22" priority="23">
      <formula>OR(S32&lt;S24,S32&lt;S26,S32&lt;S30)</formula>
    </cfRule>
  </conditionalFormatting>
  <conditionalFormatting sqref="S33">
    <cfRule type="expression" dxfId="21" priority="22">
      <formula>OR(S33&lt;S24,S33&lt;S26,S33&lt;S30,S33&lt;S32)</formula>
    </cfRule>
  </conditionalFormatting>
  <conditionalFormatting sqref="U25">
    <cfRule type="expression" dxfId="20" priority="21">
      <formula>U25&lt;U24</formula>
    </cfRule>
  </conditionalFormatting>
  <conditionalFormatting sqref="U26">
    <cfRule type="expression" dxfId="19" priority="20">
      <formula>U26&lt;U24</formula>
    </cfRule>
  </conditionalFormatting>
  <conditionalFormatting sqref="U27">
    <cfRule type="expression" dxfId="18" priority="19">
      <formula>OR(U27&lt;U24,U27&lt;U26)</formula>
    </cfRule>
  </conditionalFormatting>
  <conditionalFormatting sqref="U30">
    <cfRule type="expression" dxfId="17" priority="18">
      <formula>OR(U30&lt;U24,U30&lt;U26)</formula>
    </cfRule>
  </conditionalFormatting>
  <conditionalFormatting sqref="U31">
    <cfRule type="expression" dxfId="16" priority="17">
      <formula>OR(U31&lt;U24,U31&lt;U26,U31&lt;U30)</formula>
    </cfRule>
  </conditionalFormatting>
  <conditionalFormatting sqref="U32">
    <cfRule type="expression" dxfId="15" priority="16">
      <formula>OR(U32&lt;U24,U32&lt;U26,U32&lt;U30)</formula>
    </cfRule>
  </conditionalFormatting>
  <conditionalFormatting sqref="U33">
    <cfRule type="expression" dxfId="14" priority="15">
      <formula>OR(U33&lt;U24,U33&lt;U26,U33&lt;U30,U33&lt;U32)</formula>
    </cfRule>
  </conditionalFormatting>
  <conditionalFormatting sqref="W25">
    <cfRule type="expression" dxfId="13" priority="14">
      <formula>W25&lt;W24</formula>
    </cfRule>
  </conditionalFormatting>
  <conditionalFormatting sqref="W26">
    <cfRule type="expression" dxfId="12" priority="13">
      <formula>W26&lt;W24</formula>
    </cfRule>
  </conditionalFormatting>
  <conditionalFormatting sqref="W27">
    <cfRule type="expression" dxfId="11" priority="12">
      <formula>OR(W27&lt;W24,W27&lt;W26)</formula>
    </cfRule>
  </conditionalFormatting>
  <conditionalFormatting sqref="W30">
    <cfRule type="expression" dxfId="10" priority="11">
      <formula>OR(W30&lt;W24,W30&lt;W26)</formula>
    </cfRule>
  </conditionalFormatting>
  <conditionalFormatting sqref="W31">
    <cfRule type="expression" dxfId="9" priority="10">
      <formula>OR(W31&lt;W24,W31&lt;W26,W31&lt;W30)</formula>
    </cfRule>
  </conditionalFormatting>
  <conditionalFormatting sqref="W32">
    <cfRule type="expression" dxfId="8" priority="9">
      <formula>OR(W32&lt;W24,W32&lt;W26,W32&lt;W30)</formula>
    </cfRule>
  </conditionalFormatting>
  <conditionalFormatting sqref="W33">
    <cfRule type="expression" dxfId="7" priority="8">
      <formula>OR(W33&lt;W24,W33&lt;W26,W33&lt;W30,W33&lt;W32)</formula>
    </cfRule>
  </conditionalFormatting>
  <conditionalFormatting sqref="Y25">
    <cfRule type="expression" dxfId="6" priority="7">
      <formula>Y25&lt;Y24</formula>
    </cfRule>
  </conditionalFormatting>
  <conditionalFormatting sqref="Y26">
    <cfRule type="expression" dxfId="5" priority="6">
      <formula>Y26&lt;Y24</formula>
    </cfRule>
  </conditionalFormatting>
  <conditionalFormatting sqref="Y27">
    <cfRule type="expression" dxfId="4" priority="5">
      <formula>OR(Y27&lt;Y24,Y27&lt;Y26)</formula>
    </cfRule>
  </conditionalFormatting>
  <conditionalFormatting sqref="Y30">
    <cfRule type="expression" dxfId="3" priority="4">
      <formula>OR(Y30&lt;Y24,Y30&lt;Y26)</formula>
    </cfRule>
  </conditionalFormatting>
  <conditionalFormatting sqref="Y31">
    <cfRule type="expression" dxfId="2" priority="3">
      <formula>OR(Y31&lt;Y24,Y31&lt;Y26,Y31&lt;Y30)</formula>
    </cfRule>
  </conditionalFormatting>
  <conditionalFormatting sqref="Y32">
    <cfRule type="expression" dxfId="1" priority="2">
      <formula>OR(Y32&lt;Y24,Y32&lt;Y26,Y32&lt;Y30)</formula>
    </cfRule>
  </conditionalFormatting>
  <conditionalFormatting sqref="Y33">
    <cfRule type="expression" dxfId="0" priority="1">
      <formula>OR(Y33&lt;Y24,Y33&lt;Y26,Y33&lt;Y30,Y33&lt;Y32)</formula>
    </cfRule>
  </conditionalFormatting>
  <dataValidations count="1">
    <dataValidation type="list" allowBlank="1" showInputMessage="1" showErrorMessage="1" sqref="B7" xr:uid="{00000000-0002-0000-0000-000000000000}">
      <formula1>"1,0"</formula1>
    </dataValidation>
  </dataValidations>
  <hyperlinks>
    <hyperlink ref="BH12" location="Blad1!$D$7" display="Blad1!$D$7" xr:uid="{00000000-0004-0000-0000-000000000000}"/>
    <hyperlink ref="BH16" location="Blad1!$D$8" display="Blad1!$D$8" xr:uid="{00000000-0004-0000-0000-000001000000}"/>
    <hyperlink ref="BH17" location="Blad1!$D$9" display="Blad1!$D$9" xr:uid="{00000000-0004-0000-0000-000002000000}"/>
    <hyperlink ref="BH13" location="Blad1!$D$8" display="Blad1!$D$8" xr:uid="{00000000-0004-0000-0000-000003000000}"/>
    <hyperlink ref="BH14" location="Blad1!$D$8" display="Blad1!$D$8" xr:uid="{00000000-0004-0000-0000-000004000000}"/>
    <hyperlink ref="BH15" location="Blad1!$D$8" display="Blad1!$D$8" xr:uid="{00000000-0004-0000-0000-000005000000}"/>
    <hyperlink ref="BH12:BI12" location="'R5Post main'!B12" display="'R5Post main'!B12" xr:uid="{00000000-0004-0000-0000-000006000000}"/>
    <hyperlink ref="BH17:BI17" location="'R5Post main'!B17" display="'R5Post main'!B17" xr:uid="{00000000-0004-0000-0000-000007000000}"/>
    <hyperlink ref="BH16:BI16" location="'R5Post main'!B16" display="'R5Post main'!B16" xr:uid="{00000000-0004-0000-0000-000008000000}"/>
    <hyperlink ref="BH15:BI15" location="'R5Post main'!B15" display="'R5Post main'!B15" xr:uid="{00000000-0004-0000-0000-000009000000}"/>
    <hyperlink ref="BH14:BI14" location="'R5Post main'!B14" display="'R5Post main'!B14" xr:uid="{00000000-0004-0000-0000-00000A000000}"/>
    <hyperlink ref="BH13:BI13" location="'R5Post main'!B13" display="'R5Post main'!B13" xr:uid="{00000000-0004-0000-0000-00000B000000}"/>
    <hyperlink ref="B10" r:id="rId1" display="Stripfile.strip.txt" xr:uid="{00000000-0004-0000-0000-00000C000000}"/>
    <hyperlink ref="B9" r:id="rId2" xr:uid="{00000000-0004-0000-0000-00000D000000}"/>
    <hyperlink ref="K12" location="'R5Post main'!$K$12" display="'R5Post main'!$K$12" xr:uid="{00000000-0004-0000-0000-00000E000000}"/>
    <hyperlink ref="M12" location="'R5Post main'!$M$12" display="'R5Post main'!$M$12" xr:uid="{00000000-0004-0000-0000-00000F000000}"/>
    <hyperlink ref="O12" location="'R5Post main'!$O$12" display="'R5Post main'!$O$12" xr:uid="{00000000-0004-0000-0000-000010000000}"/>
    <hyperlink ref="K14" location="'R5Post main'!$K$14" display="'R5Post main'!$K$14" xr:uid="{00000000-0004-0000-0000-000011000000}"/>
    <hyperlink ref="M14" location="'R5Post main'!$M$14" display="'R5Post main'!$M$14" xr:uid="{00000000-0004-0000-0000-000012000000}"/>
    <hyperlink ref="O14" location="'R5Post main'!$O$14" display="'R5Post main'!$O$14" xr:uid="{00000000-0004-0000-0000-000013000000}"/>
    <hyperlink ref="B12" location="'R5Post main'!$B$12" display="'R5Post main'!$B$12" xr:uid="{00000000-0004-0000-0000-000014000000}"/>
    <hyperlink ref="B13" location="'R5Post main'!$B$13" display="'R5Post main'!$B$13" xr:uid="{00000000-0004-0000-0000-000015000000}"/>
    <hyperlink ref="B14" location="'R5Post main'!$B$14" display="'R5Post main'!$B$14" xr:uid="{00000000-0004-0000-0000-000016000000}"/>
    <hyperlink ref="B15" location="'R5Post main'!$B$15" display="'R5Post main'!$B$15" xr:uid="{00000000-0004-0000-0000-000017000000}"/>
    <hyperlink ref="B16" location="'R5Post main'!$B$16" display="'R5Post main'!$B$16" xr:uid="{00000000-0004-0000-0000-000018000000}"/>
    <hyperlink ref="B17" location="'R5Post main'!$B$17" display="'R5Post main'!$B$17" xr:uid="{00000000-0004-0000-0000-000019000000}"/>
    <hyperlink ref="D12" location="'R5Post main'!$D$12" display="'R5Post main'!$D$12" xr:uid="{00000000-0004-0000-0000-00001A000000}"/>
    <hyperlink ref="D13" location="'R5Post main'!$D$13" display="'R5Post main'!$D$13" xr:uid="{00000000-0004-0000-0000-00001B000000}"/>
    <hyperlink ref="D14" location="'R5Post main'!$D$14" display="'R5Post main'!$D$14" xr:uid="{00000000-0004-0000-0000-00001C000000}"/>
    <hyperlink ref="D15" location="'R5Post main'!$D$15" display="'R5Post main'!$D$15" xr:uid="{00000000-0004-0000-0000-00001D000000}"/>
    <hyperlink ref="D16" location="'R5Post main'!$D$16" display="'R5Post main'!$D$16" xr:uid="{00000000-0004-0000-0000-00001E000000}"/>
    <hyperlink ref="D17" location="'R5Post main'!$D$17" display="'R5Post main'!$D$17" xr:uid="{00000000-0004-0000-0000-00001F000000}"/>
    <hyperlink ref="F12" location="'R5Post main'!$F$12" display="'R5Post main'!$F$12" xr:uid="{00000000-0004-0000-0000-000020000000}"/>
    <hyperlink ref="F13" location="'R5Post main'!$F$13" display="'R5Post main'!$F$13" xr:uid="{00000000-0004-0000-0000-000021000000}"/>
    <hyperlink ref="F14" location="'R5Post main'!$F$14" display="'R5Post main'!$F$14" xr:uid="{00000000-0004-0000-0000-000022000000}"/>
    <hyperlink ref="F15" location="'R5Post main'!$F$15" display="'R5Post main'!$F$15" xr:uid="{00000000-0004-0000-0000-000023000000}"/>
    <hyperlink ref="F16" location="'R5Post main'!$F$16" display="'R5Post main'!$F$16" xr:uid="{00000000-0004-0000-0000-000024000000}"/>
    <hyperlink ref="F17" location="'R5Post main'!$F$17" display="'R5Post main'!$F$17" xr:uid="{00000000-0004-0000-0000-000025000000}"/>
    <hyperlink ref="H12" location="'R5Post main'!$H$12" display="'R5Post main'!$H$12" xr:uid="{00000000-0004-0000-0000-000026000000}"/>
    <hyperlink ref="H13" location="'R5Post main'!$H$13" display="'R5Post main'!$H$13" xr:uid="{00000000-0004-0000-0000-000027000000}"/>
    <hyperlink ref="H14" location="'R5Post main'!$H$14" display="'R5Post main'!$H$14" xr:uid="{00000000-0004-0000-0000-000028000000}"/>
    <hyperlink ref="H15" location="'R5Post main'!$H$15" display="'R5Post main'!$H$15" xr:uid="{00000000-0004-0000-0000-000029000000}"/>
    <hyperlink ref="H16" location="'R5Post main'!$H$16" display="'R5Post main'!$H$16" xr:uid="{00000000-0004-0000-0000-00002A000000}"/>
    <hyperlink ref="H17" location="'R5Post main'!$H$17" display="'R5Post main'!$H$17" xr:uid="{00000000-0004-0000-0000-00002B000000}"/>
    <hyperlink ref="J12" location="'R5Post main'!$J$12" display="'R5Post main'!$J$12" xr:uid="{00000000-0004-0000-0000-00002C000000}"/>
    <hyperlink ref="J13" location="'R5Post main'!$J$13" display="'R5Post main'!$J$13" xr:uid="{00000000-0004-0000-0000-00002D000000}"/>
    <hyperlink ref="J14" location="'R5Post main'!$J$14" display="'R5Post main'!$J$14" xr:uid="{00000000-0004-0000-0000-00002E000000}"/>
    <hyperlink ref="J15" location="'R5Post main'!$J$15" display="'R5Post main'!$J$15" xr:uid="{00000000-0004-0000-0000-00002F000000}"/>
    <hyperlink ref="J16" location="'R5Post main'!$J$16" display="'R5Post main'!$J$16" xr:uid="{00000000-0004-0000-0000-000030000000}"/>
    <hyperlink ref="J17" location="'R5Post main'!$J$17" display="'R5Post main'!$J$17" xr:uid="{00000000-0004-0000-0000-000031000000}"/>
    <hyperlink ref="L12" location="'R5Post main'!$L$12" display="'R5Post main'!$L$12" xr:uid="{00000000-0004-0000-0000-000032000000}"/>
    <hyperlink ref="L13" location="'R5Post main'!$L$13" display="'R5Post main'!$L$13" xr:uid="{00000000-0004-0000-0000-000033000000}"/>
    <hyperlink ref="L14" location="'R5Post main'!$L$14" display="'R5Post main'!$L$14" xr:uid="{00000000-0004-0000-0000-000034000000}"/>
    <hyperlink ref="L15" location="'R5Post main'!$L$15" display="'R5Post main'!$L$15" xr:uid="{00000000-0004-0000-0000-000035000000}"/>
    <hyperlink ref="L16" location="'R5Post main'!$L$16" display="'R5Post main'!$L$16" xr:uid="{00000000-0004-0000-0000-000036000000}"/>
    <hyperlink ref="L17" location="'R5Post main'!$L$17" display="'R5Post main'!$L$17" xr:uid="{00000000-0004-0000-0000-000037000000}"/>
    <hyperlink ref="N12" location="'R5Post main'!$N$12" display="'R5Post main'!$N$12" xr:uid="{00000000-0004-0000-0000-000038000000}"/>
    <hyperlink ref="N13" location="'R5Post main'!$N$13" display="'R5Post main'!$N$13" xr:uid="{00000000-0004-0000-0000-000039000000}"/>
    <hyperlink ref="N14" location="'R5Post main'!$N$14" display="'R5Post main'!$N$14" xr:uid="{00000000-0004-0000-0000-00003A000000}"/>
    <hyperlink ref="N15" location="'R5Post main'!$N$15" display="'R5Post main'!$N$15" xr:uid="{00000000-0004-0000-0000-00003B000000}"/>
    <hyperlink ref="N16" location="'R5Post main'!$N$16" display="'R5Post main'!$N$16" xr:uid="{00000000-0004-0000-0000-00003C000000}"/>
    <hyperlink ref="N17" location="'R5Post main'!$N$17" display="'R5Post main'!$N$17" xr:uid="{00000000-0004-0000-0000-00003D000000}"/>
    <hyperlink ref="P12" location="'R5Post main'!$P$12" display="'R5Post main'!$P$12" xr:uid="{00000000-0004-0000-0000-00003E000000}"/>
    <hyperlink ref="P13" location="'R5Post main'!$P$13" display="'R5Post main'!$P$13" xr:uid="{00000000-0004-0000-0000-00003F000000}"/>
    <hyperlink ref="P14" location="'R5Post main'!$P$14" display="'R5Post main'!$P$14" xr:uid="{00000000-0004-0000-0000-000040000000}"/>
    <hyperlink ref="P15" location="'R5Post main'!$P$15" display="'R5Post main'!$P$15" xr:uid="{00000000-0004-0000-0000-000041000000}"/>
    <hyperlink ref="P16" location="'R5Post main'!$P$16" display="'R5Post main'!$P$16" xr:uid="{00000000-0004-0000-0000-000042000000}"/>
    <hyperlink ref="P17" location="'R5Post main'!$P$17" display="'R5Post main'!$P$17" xr:uid="{00000000-0004-0000-0000-000043000000}"/>
    <hyperlink ref="R12" location="'R5Post main'!$R$12" display="'R5Post main'!$R$12" xr:uid="{00000000-0004-0000-0000-000044000000}"/>
    <hyperlink ref="R13" location="'R5Post main'!$R$13" display="'R5Post main'!$R$13" xr:uid="{00000000-0004-0000-0000-000045000000}"/>
    <hyperlink ref="R14" location="'R5Post main'!$R$14" display="'R5Post main'!$R$14" xr:uid="{00000000-0004-0000-0000-000046000000}"/>
    <hyperlink ref="R15" location="'R5Post main'!$R$15" display="'R5Post main'!$R$15" xr:uid="{00000000-0004-0000-0000-000047000000}"/>
    <hyperlink ref="R16" location="'R5Post main'!$R$16" display="'R5Post main'!$R$16" xr:uid="{00000000-0004-0000-0000-000048000000}"/>
    <hyperlink ref="R17" location="'R5Post main'!$R$17" display="'R5Post main'!$R$17" xr:uid="{00000000-0004-0000-0000-000049000000}"/>
    <hyperlink ref="T12" location="'R5Post main'!$T$12" display="'R5Post main'!$T$12" xr:uid="{00000000-0004-0000-0000-00004A000000}"/>
    <hyperlink ref="T13" location="'R5Post main'!$T$13" display="'R5Post main'!$T$13" xr:uid="{00000000-0004-0000-0000-00004B000000}"/>
    <hyperlink ref="T14" location="'R5Post main'!$T$14" display="'R5Post main'!$T$14" xr:uid="{00000000-0004-0000-0000-00004C000000}"/>
    <hyperlink ref="T15" location="'R5Post main'!$T$15" display="'R5Post main'!$T$15" xr:uid="{00000000-0004-0000-0000-00004D000000}"/>
    <hyperlink ref="T16" location="'R5Post main'!$T$16" display="'R5Post main'!$T$16" xr:uid="{00000000-0004-0000-0000-00004E000000}"/>
    <hyperlink ref="T17" location="'R5Post main'!$T$17" display="'R5Post main'!$T$17" xr:uid="{00000000-0004-0000-0000-00004F000000}"/>
    <hyperlink ref="V12" location="'R5Post main'!$V$12" display="'R5Post main'!$V$12" xr:uid="{00000000-0004-0000-0000-000050000000}"/>
    <hyperlink ref="V13" location="'R5Post main'!$V$13" display="'R5Post main'!$V$13" xr:uid="{00000000-0004-0000-0000-000051000000}"/>
    <hyperlink ref="V14" location="'R5Post main'!$V$14" display="'R5Post main'!$V$14" xr:uid="{00000000-0004-0000-0000-000052000000}"/>
    <hyperlink ref="V15" location="'R5Post main'!$V$15" display="'R5Post main'!$V$15" xr:uid="{00000000-0004-0000-0000-000053000000}"/>
    <hyperlink ref="V16" location="'R5Post main'!$V$16" display="'R5Post main'!$V$16" xr:uid="{00000000-0004-0000-0000-000054000000}"/>
    <hyperlink ref="V17" location="'R5Post main'!$V$17" display="'R5Post main'!$V$17" xr:uid="{00000000-0004-0000-0000-000055000000}"/>
    <hyperlink ref="X12" location="'R5Post main'!$X$12" display="'R5Post main'!$X$12" xr:uid="{00000000-0004-0000-0000-000056000000}"/>
    <hyperlink ref="X13" location="'R5Post main'!$X$13" display="'R5Post main'!$X$13" xr:uid="{00000000-0004-0000-0000-000057000000}"/>
    <hyperlink ref="X14" location="'R5Post main'!$X$14" display="'R5Post main'!$X$14" xr:uid="{00000000-0004-0000-0000-000058000000}"/>
    <hyperlink ref="X15" location="'R5Post main'!$X$15" display="'R5Post main'!$X$15" xr:uid="{00000000-0004-0000-0000-000059000000}"/>
    <hyperlink ref="X16" location="'R5Post main'!$X$16" display="'R5Post main'!$X$16" xr:uid="{00000000-0004-0000-0000-00005A000000}"/>
    <hyperlink ref="X17" location="'R5Post main'!$X$17" display="'R5Post main'!$X$17" xr:uid="{00000000-0004-0000-0000-00005B000000}"/>
    <hyperlink ref="Z12" location="'R5Post main'!$Z$12" display="'R5Post main'!$Z$12" xr:uid="{00000000-0004-0000-0000-00005C000000}"/>
    <hyperlink ref="Z13" location="'R5Post main'!$Z$13" display="'R5Post main'!$Z$13" xr:uid="{00000000-0004-0000-0000-00005D000000}"/>
    <hyperlink ref="Z14" location="'R5Post main'!$Z$14" display="'R5Post main'!$Z$14" xr:uid="{00000000-0004-0000-0000-00005E000000}"/>
    <hyperlink ref="Z15" location="'R5Post main'!$Z$15" display="'R5Post main'!$Z$15" xr:uid="{00000000-0004-0000-0000-00005F000000}"/>
    <hyperlink ref="Z16" location="'R5Post main'!$Z$16" display="'R5Post main'!$Z$16" xr:uid="{00000000-0004-0000-0000-000060000000}"/>
    <hyperlink ref="Z17" location="'R5Post main'!$Z$17" display="'R5Post main'!$Z$17" xr:uid="{00000000-0004-0000-0000-000061000000}"/>
    <hyperlink ref="AB12" location="'R5Post main'!$AB$12" display="'R5Post main'!$AB$12" xr:uid="{00000000-0004-0000-0000-000062000000}"/>
    <hyperlink ref="AB13" location="'R5Post main'!$AB$13" display="'R5Post main'!$AB$13" xr:uid="{00000000-0004-0000-0000-000063000000}"/>
    <hyperlink ref="AB14" location="'R5Post main'!$AB$14" display="'R5Post main'!$AB$14" xr:uid="{00000000-0004-0000-0000-000064000000}"/>
    <hyperlink ref="AB15" location="'R5Post main'!$AB$15" display="'R5Post main'!$AB$15" xr:uid="{00000000-0004-0000-0000-000065000000}"/>
    <hyperlink ref="AB16" location="'R5Post main'!$AB$16" display="'R5Post main'!$AB$16" xr:uid="{00000000-0004-0000-0000-000066000000}"/>
    <hyperlink ref="AB17" location="'R5Post main'!$AB$17" display="'R5Post main'!$AB$17" xr:uid="{00000000-0004-0000-0000-000067000000}"/>
    <hyperlink ref="AD12" location="'R5Post main'!$AD$12" display="'R5Post main'!$AD$12" xr:uid="{00000000-0004-0000-0000-000068000000}"/>
    <hyperlink ref="AD13" location="'R5Post main'!$AD$13" display="'R5Post main'!$AD$13" xr:uid="{00000000-0004-0000-0000-000069000000}"/>
    <hyperlink ref="AD14" location="'R5Post main'!$AD$14" display="'R5Post main'!$AD$14" xr:uid="{00000000-0004-0000-0000-00006A000000}"/>
    <hyperlink ref="AD15" location="'R5Post main'!$AD$15" display="'R5Post main'!$AD$15" xr:uid="{00000000-0004-0000-0000-00006B000000}"/>
    <hyperlink ref="AD16" location="'R5Post main'!$AD$16" display="'R5Post main'!$AD$16" xr:uid="{00000000-0004-0000-0000-00006C000000}"/>
    <hyperlink ref="AD17" location="'R5Post main'!$AD$17" display="'R5Post main'!$AD$17" xr:uid="{00000000-0004-0000-0000-00006D000000}"/>
    <hyperlink ref="AF12" location="'R5Post main'!$AF$12" display="'R5Post main'!$AF$12" xr:uid="{00000000-0004-0000-0000-00006E000000}"/>
    <hyperlink ref="AF13" location="'R5Post main'!$AF$13" display="'R5Post main'!$AF$13" xr:uid="{00000000-0004-0000-0000-00006F000000}"/>
    <hyperlink ref="AF14" location="'R5Post main'!$AF$14" display="'R5Post main'!$AF$14" xr:uid="{00000000-0004-0000-0000-000070000000}"/>
    <hyperlink ref="AF15" location="'R5Post main'!$AF$15" display="'R5Post main'!$AF$15" xr:uid="{00000000-0004-0000-0000-000071000000}"/>
    <hyperlink ref="AF16" location="'R5Post main'!$AF$16" display="'R5Post main'!$AF$16" xr:uid="{00000000-0004-0000-0000-000072000000}"/>
    <hyperlink ref="AF17" location="'R5Post main'!$AF$17" display="'R5Post main'!$AF$17" xr:uid="{00000000-0004-0000-0000-000073000000}"/>
    <hyperlink ref="AH12" location="'R5Post main'!$AH$12" display="'R5Post main'!$AH$12" xr:uid="{00000000-0004-0000-0000-000074000000}"/>
    <hyperlink ref="AH13" location="'R5Post main'!$AH$13" display="'R5Post main'!$AH$13" xr:uid="{00000000-0004-0000-0000-000075000000}"/>
    <hyperlink ref="AH14" location="'R5Post main'!$AH$14" display="'R5Post main'!$AH$14" xr:uid="{00000000-0004-0000-0000-000076000000}"/>
    <hyperlink ref="AH15" location="'R5Post main'!$AH$15" display="'R5Post main'!$AH$15" xr:uid="{00000000-0004-0000-0000-000077000000}"/>
    <hyperlink ref="AH16" location="'R5Post main'!$AH$16" display="'R5Post main'!$AH$16" xr:uid="{00000000-0004-0000-0000-000078000000}"/>
    <hyperlink ref="AH17" location="'R5Post main'!$AH$17" display="'R5Post main'!$AH$17" xr:uid="{00000000-0004-0000-0000-000079000000}"/>
    <hyperlink ref="AJ12" location="'R5Post main'!$AJ$12" display="'R5Post main'!$AJ$12" xr:uid="{00000000-0004-0000-0000-00007A000000}"/>
    <hyperlink ref="AJ13" location="'R5Post main'!$AJ$13" display="'R5Post main'!$AJ$13" xr:uid="{00000000-0004-0000-0000-00007B000000}"/>
    <hyperlink ref="AJ14" location="'R5Post main'!$AJ$14" display="'R5Post main'!$AJ$14" xr:uid="{00000000-0004-0000-0000-00007C000000}"/>
    <hyperlink ref="AJ15" location="'R5Post main'!$AJ$15" display="'R5Post main'!$AJ$15" xr:uid="{00000000-0004-0000-0000-00007D000000}"/>
    <hyperlink ref="AJ16" location="'R5Post main'!$AJ$16" display="'R5Post main'!$AJ$16" xr:uid="{00000000-0004-0000-0000-00007E000000}"/>
    <hyperlink ref="AJ17" location="'R5Post main'!$AJ$17" display="'R5Post main'!$AJ$17" xr:uid="{00000000-0004-0000-0000-00007F000000}"/>
    <hyperlink ref="AL12" location="'R5Post main'!$AL$12" display="'R5Post main'!$AL$12" xr:uid="{00000000-0004-0000-0000-000080000000}"/>
    <hyperlink ref="AL13" location="'R5Post main'!$AL$13" display="'R5Post main'!$AL$13" xr:uid="{00000000-0004-0000-0000-000081000000}"/>
    <hyperlink ref="AL14" location="'R5Post main'!$AL$14" display="'R5Post main'!$AL$14" xr:uid="{00000000-0004-0000-0000-000082000000}"/>
    <hyperlink ref="AL15" location="'R5Post main'!$AL$15" display="'R5Post main'!$AL$15" xr:uid="{00000000-0004-0000-0000-000083000000}"/>
    <hyperlink ref="AL16" location="'R5Post main'!$AL$16" display="'R5Post main'!$AL$16" xr:uid="{00000000-0004-0000-0000-000084000000}"/>
    <hyperlink ref="AL17" location="'R5Post main'!$AL$17" display="'R5Post main'!$AL$17" xr:uid="{00000000-0004-0000-0000-000085000000}"/>
    <hyperlink ref="AN12" location="'R5Post main'!$AN$12" display="'R5Post main'!$AN$12" xr:uid="{00000000-0004-0000-0000-000086000000}"/>
    <hyperlink ref="AN13" location="'R5Post main'!$AN$13" display="'R5Post main'!$AN$13" xr:uid="{00000000-0004-0000-0000-000087000000}"/>
    <hyperlink ref="AN14" location="'R5Post main'!$AN$14" display="'R5Post main'!$AN$14" xr:uid="{00000000-0004-0000-0000-000088000000}"/>
    <hyperlink ref="AN15" location="'R5Post main'!$AN$15" display="'R5Post main'!$AN$15" xr:uid="{00000000-0004-0000-0000-000089000000}"/>
    <hyperlink ref="AN16" location="'R5Post main'!$AN$16" display="'R5Post main'!$AN$16" xr:uid="{00000000-0004-0000-0000-00008A000000}"/>
    <hyperlink ref="AN17" location="'R5Post main'!$AN$17" display="'R5Post main'!$AN$17" xr:uid="{00000000-0004-0000-0000-00008B000000}"/>
    <hyperlink ref="AP12" location="'R5Post main'!$AP$12" display="'R5Post main'!$AP$12" xr:uid="{00000000-0004-0000-0000-00008C000000}"/>
    <hyperlink ref="AP13" location="'R5Post main'!$AP$13" display="'R5Post main'!$AP$13" xr:uid="{00000000-0004-0000-0000-00008D000000}"/>
    <hyperlink ref="AP14" location="'R5Post main'!$AP$14" display="'R5Post main'!$AP$14" xr:uid="{00000000-0004-0000-0000-00008E000000}"/>
    <hyperlink ref="AP15" location="'R5Post main'!$AP$15" display="'R5Post main'!$AP$15" xr:uid="{00000000-0004-0000-0000-00008F000000}"/>
    <hyperlink ref="AP16" location="'R5Post main'!$AP$16" display="'R5Post main'!$AP$16" xr:uid="{00000000-0004-0000-0000-000090000000}"/>
    <hyperlink ref="AP17" location="'R5Post main'!$AP$17" display="'R5Post main'!$AP$17" xr:uid="{00000000-0004-0000-0000-000091000000}"/>
    <hyperlink ref="AR12" location="'R5Post main'!$AR$12" display="'R5Post main'!$AR$12" xr:uid="{00000000-0004-0000-0000-000092000000}"/>
    <hyperlink ref="AR13" location="'R5Post main'!$AR$13" display="'R5Post main'!$AR$13" xr:uid="{00000000-0004-0000-0000-000093000000}"/>
    <hyperlink ref="AR14" location="'R5Post main'!$AR$14" display="'R5Post main'!$AR$14" xr:uid="{00000000-0004-0000-0000-000094000000}"/>
    <hyperlink ref="AR15" location="'R5Post main'!$AR$15" display="'R5Post main'!$AR$15" xr:uid="{00000000-0004-0000-0000-000095000000}"/>
    <hyperlink ref="AR16" location="'R5Post main'!$AR$16" display="'R5Post main'!$AR$16" xr:uid="{00000000-0004-0000-0000-000096000000}"/>
    <hyperlink ref="AR17" location="'R5Post main'!$AR$17" display="'R5Post main'!$AR$17" xr:uid="{00000000-0004-0000-0000-000097000000}"/>
    <hyperlink ref="AT12" location="'R5Post main'!$AT$12" display="'R5Post main'!$AT$12" xr:uid="{00000000-0004-0000-0000-000098000000}"/>
    <hyperlink ref="AT13" location="'R5Post main'!$AT$13" display="'R5Post main'!$AT$13" xr:uid="{00000000-0004-0000-0000-000099000000}"/>
    <hyperlink ref="AT14" location="'R5Post main'!$AT$14" display="'R5Post main'!$AT$14" xr:uid="{00000000-0004-0000-0000-00009A000000}"/>
    <hyperlink ref="AT15" location="'R5Post main'!$AT$15" display="'R5Post main'!$AT$15" xr:uid="{00000000-0004-0000-0000-00009B000000}"/>
    <hyperlink ref="AT16" location="'R5Post main'!$AT$16" display="'R5Post main'!$AT$16" xr:uid="{00000000-0004-0000-0000-00009C000000}"/>
    <hyperlink ref="AT17" location="'R5Post main'!$AT$17" display="'R5Post main'!$AT$17" xr:uid="{00000000-0004-0000-0000-00009D000000}"/>
    <hyperlink ref="AV12" location="'R5Post main'!$AV$12" display="'R5Post main'!$AV$12" xr:uid="{00000000-0004-0000-0000-00009E000000}"/>
    <hyperlink ref="AV13" location="'R5Post main'!$AV$13" display="'R5Post main'!$AV$13" xr:uid="{00000000-0004-0000-0000-00009F000000}"/>
    <hyperlink ref="AV14" location="'R5Post main'!$AV$14" display="'R5Post main'!$AV$14" xr:uid="{00000000-0004-0000-0000-0000A0000000}"/>
    <hyperlink ref="AV15" location="'R5Post main'!$AV$15" display="'R5Post main'!$AV$15" xr:uid="{00000000-0004-0000-0000-0000A1000000}"/>
    <hyperlink ref="AV16" location="'R5Post main'!$AV$16" display="'R5Post main'!$AV$16" xr:uid="{00000000-0004-0000-0000-0000A2000000}"/>
    <hyperlink ref="AV17" location="'R5Post main'!$AV$17" display="'R5Post main'!$AV$17" xr:uid="{00000000-0004-0000-0000-0000A3000000}"/>
    <hyperlink ref="AX12" location="'R5Post main'!$AX$12" display="'R5Post main'!$AX$12" xr:uid="{00000000-0004-0000-0000-0000A4000000}"/>
    <hyperlink ref="AX13" location="'R5Post main'!$AX$13" display="'R5Post main'!$AX$13" xr:uid="{00000000-0004-0000-0000-0000A5000000}"/>
    <hyperlink ref="AX14" location="'R5Post main'!$AX$14" display="'R5Post main'!$AX$14" xr:uid="{00000000-0004-0000-0000-0000A6000000}"/>
    <hyperlink ref="AX15" location="'R5Post main'!$AX$15" display="'R5Post main'!$AX$15" xr:uid="{00000000-0004-0000-0000-0000A7000000}"/>
    <hyperlink ref="AX16" location="'R5Post main'!$AX$16" display="'R5Post main'!$AX$16" xr:uid="{00000000-0004-0000-0000-0000A8000000}"/>
    <hyperlink ref="AX17" location="'R5Post main'!$AX$17" display="'R5Post main'!$AX$17" xr:uid="{00000000-0004-0000-0000-0000A9000000}"/>
    <hyperlink ref="AZ12" location="'R5Post main'!$AZ$12" display="'R5Post main'!$AZ$12" xr:uid="{00000000-0004-0000-0000-0000AA000000}"/>
    <hyperlink ref="AZ13" location="'R5Post main'!$AZ$13" display="'R5Post main'!$AZ$13" xr:uid="{00000000-0004-0000-0000-0000AB000000}"/>
    <hyperlink ref="AZ14" location="'R5Post main'!$AZ$14" display="'R5Post main'!$AZ$14" xr:uid="{00000000-0004-0000-0000-0000AC000000}"/>
    <hyperlink ref="AZ15" location="'R5Post main'!$AZ$15" display="'R5Post main'!$AZ$15" xr:uid="{00000000-0004-0000-0000-0000AD000000}"/>
    <hyperlink ref="AZ16" location="'R5Post main'!$AZ$16" display="'R5Post main'!$AZ$16" xr:uid="{00000000-0004-0000-0000-0000AE000000}"/>
    <hyperlink ref="AZ17" location="'R5Post main'!$AZ$17" display="'R5Post main'!$AZ$17" xr:uid="{00000000-0004-0000-0000-0000AF000000}"/>
    <hyperlink ref="BB12" location="'R5Post main'!$BB$12" display="'R5Post main'!$BB$12" xr:uid="{00000000-0004-0000-0000-0000B0000000}"/>
    <hyperlink ref="BB13" location="'R5Post main'!$BB$13" display="'R5Post main'!$BB$13" xr:uid="{00000000-0004-0000-0000-0000B1000000}"/>
    <hyperlink ref="BB14" location="'R5Post main'!$BB$14" display="'R5Post main'!$BB$14" xr:uid="{00000000-0004-0000-0000-0000B2000000}"/>
    <hyperlink ref="BB15" location="'R5Post main'!$BB$15" display="'R5Post main'!$BB$15" xr:uid="{00000000-0004-0000-0000-0000B3000000}"/>
    <hyperlink ref="BB16" location="'R5Post main'!$BB$16" display="'R5Post main'!$BB$16" xr:uid="{00000000-0004-0000-0000-0000B4000000}"/>
    <hyperlink ref="BB17" location="'R5Post main'!$BB$17" display="'R5Post main'!$BB$17" xr:uid="{00000000-0004-0000-0000-0000B5000000}"/>
    <hyperlink ref="BD12" location="'R5Post main'!$BD$12" display="'R5Post main'!$BD$12" xr:uid="{00000000-0004-0000-0000-0000B6000000}"/>
    <hyperlink ref="BD13" location="'R5Post main'!$BD$13" display="'R5Post main'!$BD$13" xr:uid="{00000000-0004-0000-0000-0000B7000000}"/>
    <hyperlink ref="BD14" location="'R5Post main'!$BD$14" display="'R5Post main'!$BD$14" xr:uid="{00000000-0004-0000-0000-0000B8000000}"/>
    <hyperlink ref="BD15" location="'R5Post main'!$BD$15" display="'R5Post main'!$BD$15" xr:uid="{00000000-0004-0000-0000-0000B9000000}"/>
    <hyperlink ref="BD16" location="'R5Post main'!$BD$16" display="'R5Post main'!$BD$16" xr:uid="{00000000-0004-0000-0000-0000BA000000}"/>
    <hyperlink ref="BD17" location="'R5Post main'!$BD$17" display="'R5Post main'!$BD$17" xr:uid="{00000000-0004-0000-0000-0000BB000000}"/>
    <hyperlink ref="BF12" location="'R5Post main'!$BF$12" display="'R5Post main'!$BF$12" xr:uid="{00000000-0004-0000-0000-0000BC000000}"/>
    <hyperlink ref="BF13" location="'R5Post main'!$BF$13" display="'R5Post main'!$BF$13" xr:uid="{00000000-0004-0000-0000-0000BD000000}"/>
    <hyperlink ref="BF14" location="'R5Post main'!$BF$14" display="'R5Post main'!$BF$14" xr:uid="{00000000-0004-0000-0000-0000BE000000}"/>
    <hyperlink ref="BF15" location="'R5Post main'!$BF$15" display="'R5Post main'!$BF$15" xr:uid="{00000000-0004-0000-0000-0000BF000000}"/>
    <hyperlink ref="BF16" location="'R5Post main'!$BF$16" display="'R5Post main'!$BF$16" xr:uid="{00000000-0004-0000-0000-0000C0000000}"/>
    <hyperlink ref="BF17" location="'R5Post main'!$BF$17" display="'R5Post main'!$BF$17" xr:uid="{00000000-0004-0000-0000-0000C1000000}"/>
    <hyperlink ref="B26" location="'R5Post main'!B26" display="'R5Post main'!B26" xr:uid="{00000000-0004-0000-0000-0000C2000000}"/>
    <hyperlink ref="D26" location="'R5Post main'!B26" display="'R5Post main'!B26" xr:uid="{00000000-0004-0000-0000-0000C3000000}"/>
    <hyperlink ref="F26" location="'R5Post main'!B26" display="'R5Post main'!B26" xr:uid="{00000000-0004-0000-0000-0000C4000000}"/>
    <hyperlink ref="B27" location="'R5Post main'!B26" display="'R5Post main'!B26" xr:uid="{00000000-0004-0000-0000-0000C5000000}"/>
    <hyperlink ref="D27" location="'R5Post main'!B26" display="'R5Post main'!B26" xr:uid="{00000000-0004-0000-0000-0000C6000000}"/>
    <hyperlink ref="F27" location="'R5Post main'!B26" display="'R5Post main'!B26" xr:uid="{00000000-0004-0000-0000-0000C7000000}"/>
    <hyperlink ref="H27" location="'R5Post main'!B26" display="'R5Post main'!B26" xr:uid="{00000000-0004-0000-0000-0000C8000000}"/>
    <hyperlink ref="A2" r:id="rId3" xr:uid="{00000000-0004-0000-0000-0000C9000000}"/>
  </hyperlinks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RefreshFileDates">
                <anchor>
                  <from>
                    <xdr:col>3</xdr:col>
                    <xdr:colOff>238125</xdr:colOff>
                    <xdr:row>7</xdr:row>
                    <xdr:rowOff>123825</xdr:rowOff>
                  </from>
                  <to>
                    <xdr:col>4</xdr:col>
                    <xdr:colOff>590550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" name="Button 3">
              <controlPr defaultSize="0" print="0" autoFill="0" autoPict="0" macro="[0]!PurgeFiles">
                <anchor>
                  <from>
                    <xdr:col>13</xdr:col>
                    <xdr:colOff>638175</xdr:colOff>
                    <xdr:row>1</xdr:row>
                    <xdr:rowOff>76200</xdr:rowOff>
                  </from>
                  <to>
                    <xdr:col>14</xdr:col>
                    <xdr:colOff>781050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print="0" autoFill="0" autoPict="0" macro="[0]!SetPaths">
                <anchor>
                  <from>
                    <xdr:col>11</xdr:col>
                    <xdr:colOff>9525</xdr:colOff>
                    <xdr:row>1</xdr:row>
                    <xdr:rowOff>19050</xdr:rowOff>
                  </from>
                  <to>
                    <xdr:col>11</xdr:col>
                    <xdr:colOff>990600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E24"/>
  <sheetViews>
    <sheetView workbookViewId="0">
      <selection activeCell="E44" sqref="E44"/>
    </sheetView>
  </sheetViews>
  <sheetFormatPr defaultRowHeight="15" x14ac:dyDescent="0.25"/>
  <sheetData>
    <row r="24" spans="5:5" x14ac:dyDescent="0.25">
      <c r="E24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2</vt:i4>
      </vt:variant>
    </vt:vector>
  </HeadingPairs>
  <TitlesOfParts>
    <vt:vector size="2" baseType="lpstr">
      <vt:lpstr>R5Post main</vt:lpstr>
      <vt:lpstr>Help section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n/a</dc:creator>
  <cp:lastModifiedBy>Edebro Daniel (GN-TPP)</cp:lastModifiedBy>
  <dcterms:created xsi:type="dcterms:W3CDTF">2019-01-28T15:17:15Z</dcterms:created>
  <dcterms:modified xsi:type="dcterms:W3CDTF">2019-10-03T20:04:00Z</dcterms:modified>
</cp:coreProperties>
</file>