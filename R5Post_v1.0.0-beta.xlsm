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ERO_local\DevTemp\R5Post-master\"/>
    </mc:Choice>
  </mc:AlternateContent>
  <xr:revisionPtr revIDLastSave="0" documentId="13_ncr:1_{9362A44E-0644-47E1-91D3-C4B4E2CFCDC6}" xr6:coauthVersionLast="36" xr6:coauthVersionMax="36" xr10:uidLastSave="{00000000-0000-0000-0000-000000000000}"/>
  <bookViews>
    <workbookView xWindow="0" yWindow="0" windowWidth="28800" windowHeight="14610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31" i="1"/>
  <c r="V31" i="1"/>
  <c r="T31" i="1"/>
  <c r="R31" i="1"/>
  <c r="P31" i="1"/>
  <c r="N31" i="1"/>
  <c r="L31" i="1"/>
  <c r="J31" i="1"/>
  <c r="H31" i="1"/>
  <c r="F31" i="1"/>
  <c r="D31" i="1"/>
  <c r="B31" i="1"/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N27" i="1"/>
  <c r="BD23" i="1"/>
  <c r="AT26" i="1"/>
  <c r="AB23" i="1"/>
  <c r="AP32" i="1"/>
  <c r="AZ27" i="1"/>
  <c r="AF25" i="1"/>
  <c r="AD26" i="1"/>
  <c r="AP27" i="1"/>
  <c r="AH27" i="1"/>
  <c r="BH30" i="1"/>
  <c r="AZ23" i="1"/>
  <c r="BB30" i="1"/>
  <c r="AV23" i="1"/>
  <c r="BF23" i="1"/>
  <c r="AV25" i="1"/>
  <c r="AP23" i="1"/>
  <c r="AL27" i="1"/>
  <c r="BB32" i="1"/>
  <c r="AZ32" i="1"/>
  <c r="BH23" i="1"/>
  <c r="BH25" i="1"/>
  <c r="AV32" i="1"/>
  <c r="BF33" i="1"/>
  <c r="BH26" i="1"/>
  <c r="AX25" i="1"/>
  <c r="AN30" i="1"/>
  <c r="AR32" i="1"/>
  <c r="AD25" i="1"/>
  <c r="BF25" i="1"/>
  <c r="BB27" i="1"/>
  <c r="AL30" i="1"/>
  <c r="AR27" i="1"/>
  <c r="Z32" i="1"/>
  <c r="BB23" i="1"/>
  <c r="AN23" i="1"/>
  <c r="AZ25" i="1"/>
  <c r="Z23" i="1"/>
  <c r="AB26" i="1"/>
  <c r="AD27" i="1"/>
  <c r="AX33" i="1"/>
  <c r="BH33" i="1"/>
  <c r="AZ26" i="1"/>
  <c r="BB33" i="1"/>
  <c r="AB25" i="1"/>
  <c r="AF30" i="1"/>
  <c r="AF23" i="1"/>
  <c r="Z27" i="1"/>
  <c r="BH27" i="1"/>
  <c r="AB32" i="1"/>
  <c r="BD27" i="1"/>
  <c r="AH26" i="1"/>
  <c r="AZ30" i="1"/>
  <c r="AX23" i="1"/>
  <c r="BF30" i="1"/>
  <c r="AP25" i="1"/>
  <c r="AT33" i="1"/>
  <c r="Z25" i="1"/>
  <c r="AZ33" i="1"/>
  <c r="AP33" i="1"/>
  <c r="BF26" i="1"/>
  <c r="AB30" i="1"/>
  <c r="BD25" i="1"/>
  <c r="AH30" i="1"/>
  <c r="AN32" i="1"/>
  <c r="AR25" i="1"/>
  <c r="BD26" i="1"/>
  <c r="AR33" i="1"/>
  <c r="AH25" i="1"/>
  <c r="AL23" i="1"/>
  <c r="AF32" i="1"/>
  <c r="BF27" i="1"/>
  <c r="AT30" i="1"/>
  <c r="AJ27" i="1"/>
  <c r="AV33" i="1"/>
  <c r="AX27" i="1"/>
  <c r="BF32" i="1"/>
  <c r="AD33" i="1"/>
  <c r="BB26" i="1"/>
  <c r="AX30" i="1"/>
  <c r="BB25" i="1"/>
  <c r="AH33" i="1"/>
  <c r="AR26" i="1"/>
  <c r="AF33" i="1"/>
  <c r="Z33" i="1"/>
  <c r="AH32" i="1"/>
  <c r="AT25" i="1"/>
  <c r="AB27" i="1"/>
  <c r="AV26" i="1"/>
  <c r="AP26" i="1"/>
  <c r="BD33" i="1"/>
  <c r="AH23" i="1"/>
  <c r="AV27" i="1"/>
  <c r="Z26" i="1"/>
  <c r="AT32" i="1"/>
  <c r="AF27" i="1"/>
  <c r="AD30" i="1"/>
  <c r="AT23" i="1"/>
  <c r="AL25" i="1"/>
  <c r="AP30" i="1"/>
  <c r="AJ23" i="1"/>
  <c r="BH32" i="1"/>
  <c r="AJ33" i="1"/>
  <c r="AD23" i="1"/>
  <c r="AL32" i="1"/>
  <c r="AJ32" i="1"/>
  <c r="AJ26" i="1"/>
  <c r="AN26" i="1"/>
  <c r="BD32" i="1"/>
  <c r="BD30" i="1"/>
  <c r="AD32" i="1"/>
  <c r="AL26" i="1"/>
  <c r="AR30" i="1"/>
  <c r="AV30" i="1"/>
  <c r="AN33" i="1"/>
  <c r="AJ25" i="1"/>
  <c r="AJ30" i="1"/>
  <c r="AF26" i="1"/>
  <c r="AX26" i="1"/>
  <c r="AB33" i="1"/>
  <c r="AT27" i="1"/>
  <c r="AR23" i="1"/>
  <c r="AN25" i="1"/>
  <c r="Z30" i="1"/>
  <c r="AL33" i="1"/>
  <c r="AX32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J25" i="1"/>
  <c r="X32" i="1"/>
  <c r="R26" i="1"/>
  <c r="J30" i="1"/>
  <c r="T30" i="1"/>
  <c r="V30" i="1"/>
  <c r="N32" i="1"/>
  <c r="R33" i="1"/>
  <c r="T25" i="1"/>
  <c r="L26" i="1"/>
  <c r="P32" i="1"/>
  <c r="T33" i="1"/>
  <c r="X30" i="1"/>
  <c r="H33" i="1"/>
  <c r="J26" i="1"/>
  <c r="N25" i="1"/>
  <c r="R25" i="1"/>
  <c r="F33" i="1"/>
  <c r="L30" i="1"/>
  <c r="D30" i="1"/>
  <c r="V26" i="1"/>
  <c r="J32" i="1"/>
  <c r="N27" i="1"/>
  <c r="X33" i="1"/>
  <c r="P26" i="1"/>
  <c r="V32" i="1"/>
  <c r="R32" i="1"/>
  <c r="D32" i="1"/>
  <c r="H30" i="1"/>
  <c r="X25" i="1"/>
  <c r="H26" i="1"/>
  <c r="F30" i="1"/>
  <c r="X27" i="1"/>
  <c r="L32" i="1"/>
  <c r="N30" i="1"/>
  <c r="V33" i="1"/>
  <c r="P25" i="1"/>
  <c r="H25" i="1"/>
  <c r="R27" i="1"/>
  <c r="X26" i="1"/>
  <c r="J27" i="1"/>
  <c r="P27" i="1"/>
  <c r="P30" i="1"/>
  <c r="T32" i="1"/>
  <c r="H32" i="1"/>
  <c r="F32" i="1"/>
  <c r="L33" i="1"/>
  <c r="D25" i="1"/>
  <c r="P33" i="1"/>
  <c r="N33" i="1"/>
  <c r="V25" i="1"/>
  <c r="F25" i="1"/>
  <c r="T27" i="1"/>
  <c r="V27" i="1"/>
  <c r="L27" i="1"/>
  <c r="T26" i="1"/>
  <c r="L25" i="1"/>
  <c r="R30" i="1"/>
  <c r="N26" i="1"/>
  <c r="D33" i="1"/>
  <c r="J33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32" i="1"/>
  <c r="B25" i="1"/>
  <c r="B30" i="1"/>
  <c r="B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00000000-0006-0000-0000-000001000000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<sst xmlns="http://schemas.openxmlformats.org/spreadsheetml/2006/main" count="83" uniqueCount="51">
  <si>
    <t>#</t>
  </si>
  <si>
    <t>Case1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</si>
  <si>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</si>
  <si>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</si>
  <si>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</si>
  <si>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</si>
  <si>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</si>
  <si>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</si>
  <si>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</si>
  <si>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</si>
  <si>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</si>
  <si>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</si>
  <si>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</si>
  <si>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</si>
  <si>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</si>
  <si>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</si>
  <si>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</si>
  <si>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</si>
  <si>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</si>
  <si>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</si>
  <si>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</si>
  <si>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</si>
  <si>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</si>
  <si>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</si>
  <si>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</si>
  <si>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</si>
  <si>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</si>
  <si>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</si>
  <si>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</si>
  <si>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</si>
  <si>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</si>
  <si>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</si>
  <si>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</si>
  <si>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</si>
  <si>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</si>
  <si>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</si>
  <si>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t>"Testcases"</t>
  </si>
  <si>
    <t>Testcase</t>
  </si>
  <si>
    <t>Isolering av 711 sidan vid fullt blowdownflöde (6.9 kg/s). Lyftbegränsning 60%</t>
  </si>
  <si>
    <t>Isolering av 711 sidan vid fullt blowdownflöde (6.9 kg/s). Lyftbegränsning 20%</t>
  </si>
  <si>
    <t>gs.exe =</t>
  </si>
  <si>
    <t>Aptplot.exe =</t>
  </si>
  <si>
    <t>C:\Users\dero\AptPlot\bin\AptPlot.exe</t>
  </si>
  <si>
    <t>https://github.com/danneedebro/R5Post</t>
  </si>
  <si>
    <t>OK</t>
  </si>
  <si>
    <t>.csv file</t>
  </si>
  <si>
    <t>str2csv =</t>
  </si>
  <si>
    <t>[C:\DERO_local\DevTemp\R5Post-master\R5Post_v1.0.0-beta.xlsm]'R5Post main'</t>
  </si>
  <si>
    <t>C:\MyLocal\Program\str2csv\str2csv.exe</t>
  </si>
  <si>
    <t>C:\MyLocal\Program\RELAP5\relap5mod3.3patch03\relap5.exe</t>
  </si>
  <si>
    <r>
      <t xml:space="preserve">R5Post </t>
    </r>
    <r>
      <rPr>
        <sz val="22"/>
        <color theme="1"/>
        <rFont val="Calibri"/>
        <family val="2"/>
        <scheme val="minor"/>
      </rPr>
      <t>v1.0.0-beta.5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</si>
</sst>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19" fillId="2" borderId="3" xfId="1" applyFont="1" applyBorder="1" applyAlignment="1">
      <alignment horizontal="center" vertical="top" wrapText="1"/>
    </xf>
    <xf numFmtId="0" fontId="19" fillId="2" borderId="4" xfId="1" applyFont="1" applyBorder="1" applyAlignment="1">
      <alignment horizontal="center" vertical="top" wrapText="1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</cellXfs>
  <cellStyles count="3">
    <cellStyle name="Hyperlänk" xfId="2" builtinId="8"/>
    <cellStyle name="Indata" xfId="1" builtinId="20"/>
    <cellStyle name="Normal" xfId="0" builtinId="0"/>
  </cellStyles>
  <dxfs count="17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638175</xdr:colOff>
          <xdr:row>1</xdr:row>
          <xdr:rowOff>76200</xdr:rowOff>
        </xdr:from>
        <xdr:to>
          <xdr:col>14</xdr:col>
          <xdr:colOff>781050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19050</xdr:rowOff>
        </xdr:from>
        <xdr:to>
          <xdr:col>11</xdr:col>
          <xdr:colOff>990600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Set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danneedebro/R5Po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4"/>
  <sheetViews>
    <sheetView tabSelected="1" zoomScale="85" zoomScaleNormal="85" workbookViewId="0">
      <selection activeCell="B5" sqref="B5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50</v>
      </c>
      <c r="D1" s="1" t="s">
        <v>25</v>
      </c>
      <c r="E1" t="s">
        <v>47</v>
      </c>
    </row>
    <row r="2" spans="1:61" ht="15.75" x14ac:dyDescent="0.25">
      <c r="A2" s="2" t="s">
        <v>43</v>
      </c>
      <c r="F2" s="49" t="s">
        <v>22</v>
      </c>
      <c r="G2" s="50"/>
      <c r="H2" s="50"/>
      <c r="I2" s="50"/>
      <c r="J2" s="50"/>
      <c r="K2" s="51"/>
    </row>
    <row r="3" spans="1:61" x14ac:dyDescent="0.25">
      <c r="F3" s="20" t="s">
        <v>23</v>
      </c>
      <c r="G3" s="52" t="s">
        <v>49</v>
      </c>
      <c r="H3" s="52"/>
      <c r="I3" s="52"/>
      <c r="J3" s="52"/>
      <c r="K3" s="25" t="s">
        <v>44</v>
      </c>
    </row>
    <row r="4" spans="1:61" x14ac:dyDescent="0.25">
      <c r="C4" s="2"/>
      <c r="F4" s="20" t="s">
        <v>12</v>
      </c>
      <c r="G4" s="52" t="s">
        <v>15</v>
      </c>
      <c r="H4" s="52"/>
      <c r="I4" s="52"/>
      <c r="J4" s="52"/>
      <c r="K4" s="25" t="s">
        <v>44</v>
      </c>
    </row>
    <row r="5" spans="1:61" x14ac:dyDescent="0.25">
      <c r="F5" s="20" t="s">
        <v>30</v>
      </c>
      <c r="G5" s="52" t="s">
        <v>31</v>
      </c>
      <c r="H5" s="52"/>
      <c r="I5" s="52"/>
      <c r="J5" s="52"/>
      <c r="K5" s="25" t="s">
        <v>44</v>
      </c>
    </row>
    <row r="6" spans="1:61" x14ac:dyDescent="0.25">
      <c r="F6" s="20" t="s">
        <v>17</v>
      </c>
      <c r="G6" s="52" t="s">
        <v>18</v>
      </c>
      <c r="H6" s="52"/>
      <c r="I6" s="52"/>
      <c r="J6" s="52"/>
      <c r="K6" s="25" t="s">
        <v>44</v>
      </c>
    </row>
    <row r="7" spans="1:61" x14ac:dyDescent="0.25">
      <c r="A7" s="1" t="s">
        <v>26</v>
      </c>
      <c r="B7">
        <v>0</v>
      </c>
      <c r="C7" t="s">
        <v>27</v>
      </c>
      <c r="F7" s="20" t="s">
        <v>40</v>
      </c>
      <c r="G7" s="52" t="s">
        <v>32</v>
      </c>
      <c r="H7" s="52"/>
      <c r="I7" s="52"/>
      <c r="J7" s="52"/>
      <c r="K7" s="25" t="s">
        <v>44</v>
      </c>
    </row>
    <row r="8" spans="1:61" ht="15.75" x14ac:dyDescent="0.25">
      <c r="A8" s="49" t="s">
        <v>21</v>
      </c>
      <c r="B8" s="54"/>
      <c r="C8" s="55"/>
      <c r="F8" s="20" t="s">
        <v>41</v>
      </c>
      <c r="G8" s="52" t="s">
        <v>42</v>
      </c>
      <c r="H8" s="52"/>
      <c r="I8" s="52"/>
      <c r="J8" s="52"/>
      <c r="K8" s="25" t="s">
        <v>44</v>
      </c>
    </row>
    <row r="9" spans="1:61" ht="15.75" x14ac:dyDescent="0.25">
      <c r="A9" s="17" t="s">
        <v>19</v>
      </c>
      <c r="B9" s="26" t="s">
        <v>14</v>
      </c>
      <c r="C9" s="23">
        <v>42886.860717592594</v>
      </c>
      <c r="F9" s="20" t="s">
        <v>46</v>
      </c>
      <c r="G9" s="52" t="s">
        <v>48</v>
      </c>
      <c r="H9" s="52"/>
      <c r="I9" s="52"/>
      <c r="J9" s="52"/>
      <c r="K9" s="25" t="s">
        <v>44</v>
      </c>
    </row>
    <row r="10" spans="1:61" ht="15.75" x14ac:dyDescent="0.25">
      <c r="A10" s="17" t="s">
        <v>20</v>
      </c>
      <c r="B10" s="26" t="s">
        <v>14</v>
      </c>
      <c r="C10" s="23">
        <v>42886.860717592594</v>
      </c>
      <c r="D10" s="2"/>
      <c r="F10" s="21"/>
      <c r="G10" s="53"/>
      <c r="H10" s="53"/>
      <c r="I10" s="53"/>
      <c r="J10" s="53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34" t="s">
        <v>24</v>
      </c>
      <c r="B12" s="39" t="str">
        <f ca="1">IF(B$19="","",HYPERLINK(CONCATENATE(E1,"!",CELL("adress")),"(Calc)"))</f>
        <v>(Calc)</v>
      </c>
      <c r="C12" s="40"/>
      <c r="D12" s="39" t="str">
        <f>IF(D$19="","","(Calc)")</f>
        <v>(Calc)</v>
      </c>
      <c r="E12" s="40"/>
      <c r="F12" s="39" t="str">
        <f>IF(F$19="","","(Calc)")</f>
        <v>(Calc)</v>
      </c>
      <c r="G12" s="40"/>
      <c r="H12" s="39" t="str">
        <f>IF(H$19="","","(Calc)")</f>
        <v>(Calc)</v>
      </c>
      <c r="I12" s="40"/>
      <c r="J12" s="39" t="str">
        <f>IF(J$19="","","(Calc)")</f>
        <v/>
      </c>
      <c r="K12" s="40"/>
      <c r="L12" s="39" t="str">
        <f>IF(L$19="","","(Calc)")</f>
        <v/>
      </c>
      <c r="M12" s="40"/>
      <c r="N12" s="39" t="str">
        <f>IF(N$19="","","(Calc)")</f>
        <v/>
      </c>
      <c r="O12" s="40"/>
      <c r="P12" s="39" t="str">
        <f>IF(P$19="","","(Calc)")</f>
        <v/>
      </c>
      <c r="Q12" s="40"/>
      <c r="R12" s="39" t="str">
        <f>IF(R$19="","","(Calc)")</f>
        <v/>
      </c>
      <c r="S12" s="40"/>
      <c r="T12" s="39" t="str">
        <f>IF(T$19="","","(Calc)")</f>
        <v/>
      </c>
      <c r="U12" s="40"/>
      <c r="V12" s="39" t="str">
        <f>IF(V$19="","","(Calc)")</f>
        <v/>
      </c>
      <c r="W12" s="40"/>
      <c r="X12" s="39" t="str">
        <f>IF(X$19="","","(Calc)")</f>
        <v/>
      </c>
      <c r="Y12" s="40"/>
      <c r="Z12" s="39" t="str">
        <f>IF(Z$19="","","(Calc)")</f>
        <v/>
      </c>
      <c r="AA12" s="40"/>
      <c r="AB12" s="39" t="str">
        <f>IF(AB$19="","","(Calc)")</f>
        <v/>
      </c>
      <c r="AC12" s="40"/>
      <c r="AD12" s="39" t="str">
        <f>IF(AD$19="","","(Calc)")</f>
        <v/>
      </c>
      <c r="AE12" s="40"/>
      <c r="AF12" s="39" t="str">
        <f>IF(AF$19="","","(Calc)")</f>
        <v/>
      </c>
      <c r="AG12" s="40"/>
      <c r="AH12" s="39" t="str">
        <f>IF(AH$19="","","(Calc)")</f>
        <v/>
      </c>
      <c r="AI12" s="40"/>
      <c r="AJ12" s="39" t="str">
        <f>IF(AJ$19="","","(Calc)")</f>
        <v/>
      </c>
      <c r="AK12" s="40"/>
      <c r="AL12" s="39" t="str">
        <f>IF(AL$19="","","(Calc)")</f>
        <v/>
      </c>
      <c r="AM12" s="40"/>
      <c r="AN12" s="39" t="str">
        <f>IF(AN$19="","","(Calc)")</f>
        <v/>
      </c>
      <c r="AO12" s="40"/>
      <c r="AP12" s="39" t="str">
        <f>IF(AP$19="","","(Calc)")</f>
        <v/>
      </c>
      <c r="AQ12" s="40"/>
      <c r="AR12" s="39" t="str">
        <f>IF(AR$19="","","(Calc)")</f>
        <v/>
      </c>
      <c r="AS12" s="40"/>
      <c r="AT12" s="39" t="str">
        <f>IF(AT$19="","","(Calc)")</f>
        <v/>
      </c>
      <c r="AU12" s="40"/>
      <c r="AV12" s="39" t="str">
        <f>IF(AV$19="","","(Calc)")</f>
        <v/>
      </c>
      <c r="AW12" s="40"/>
      <c r="AX12" s="39" t="str">
        <f>IF(AX$19="","","(Calc)")</f>
        <v/>
      </c>
      <c r="AY12" s="40"/>
      <c r="AZ12" s="39" t="str">
        <f>IF(AZ$19="","","(Calc)")</f>
        <v/>
      </c>
      <c r="BA12" s="40"/>
      <c r="BB12" s="39" t="str">
        <f>IF(BB$19="","","(Calc)")</f>
        <v/>
      </c>
      <c r="BC12" s="40"/>
      <c r="BD12" s="39" t="str">
        <f>IF(BD$19="","","(Calc)")</f>
        <v/>
      </c>
      <c r="BE12" s="40"/>
      <c r="BF12" s="39" t="str">
        <f>IF(BF$19="","","(Calc)")</f>
        <v/>
      </c>
      <c r="BG12" s="40"/>
      <c r="BH12" s="39" t="str">
        <f>IF(BH$19="","","(Calc)")</f>
        <v/>
      </c>
      <c r="BI12" s="40"/>
    </row>
    <row r="13" spans="1:61" ht="15.75" customHeight="1" x14ac:dyDescent="0.25">
      <c r="A13" s="35"/>
      <c r="B13" s="37" t="str">
        <f>IF(B$19="","","(Calc+Strip+Demux)")</f>
        <v>(Calc+Strip+Demux)</v>
      </c>
      <c r="C13" s="38"/>
      <c r="D13" s="37" t="str">
        <f>IF(D$19="","","(Calc+Strip+Demux)")</f>
        <v>(Calc+Strip+Demux)</v>
      </c>
      <c r="E13" s="38"/>
      <c r="F13" s="37" t="str">
        <f>IF(F$19="","","(Calc+Strip+Demux)")</f>
        <v>(Calc+Strip+Demux)</v>
      </c>
      <c r="G13" s="38"/>
      <c r="H13" s="37" t="str">
        <f>IF(H$19="","","(Calc+Strip+Demux)")</f>
        <v>(Calc+Strip+Demux)</v>
      </c>
      <c r="I13" s="38"/>
      <c r="J13" s="37" t="str">
        <f>IF(J$19="","","(Calc+Strip+Demux)")</f>
        <v/>
      </c>
      <c r="K13" s="38"/>
      <c r="L13" s="37" t="str">
        <f>IF(L$19="","","(Calc+Strip+Demux)")</f>
        <v/>
      </c>
      <c r="M13" s="38"/>
      <c r="N13" s="37" t="str">
        <f>IF(N$19="","","(Calc+Strip+Demux)")</f>
        <v/>
      </c>
      <c r="O13" s="38"/>
      <c r="P13" s="37" t="str">
        <f>IF(P$19="","","(Calc+Strip+Demux)")</f>
        <v/>
      </c>
      <c r="Q13" s="38"/>
      <c r="R13" s="37" t="str">
        <f>IF(R$19="","","(Calc+Strip+Demux)")</f>
        <v/>
      </c>
      <c r="S13" s="38"/>
      <c r="T13" s="37" t="str">
        <f>IF(T$19="","","(Calc+Strip+Demux)")</f>
        <v/>
      </c>
      <c r="U13" s="38"/>
      <c r="V13" s="37" t="str">
        <f>IF(V$19="","","(Calc+Strip+Demux)")</f>
        <v/>
      </c>
      <c r="W13" s="38"/>
      <c r="X13" s="37" t="str">
        <f>IF(X$19="","","(Calc+Strip+Demux)")</f>
        <v/>
      </c>
      <c r="Y13" s="38"/>
      <c r="Z13" s="37" t="str">
        <f>IF(Z$19="","","(Calc+Strip+Demux)")</f>
        <v/>
      </c>
      <c r="AA13" s="38"/>
      <c r="AB13" s="37" t="str">
        <f>IF(AB$19="","","(Calc+Strip+Demux)")</f>
        <v/>
      </c>
      <c r="AC13" s="38"/>
      <c r="AD13" s="37" t="str">
        <f>IF(AD$19="","","(Calc+Strip+Demux)")</f>
        <v/>
      </c>
      <c r="AE13" s="38"/>
      <c r="AF13" s="37" t="str">
        <f>IF(AF$19="","","(Calc+Strip+Demux)")</f>
        <v/>
      </c>
      <c r="AG13" s="38"/>
      <c r="AH13" s="37" t="str">
        <f>IF(AH$19="","","(Calc+Strip+Demux)")</f>
        <v/>
      </c>
      <c r="AI13" s="38"/>
      <c r="AJ13" s="37" t="str">
        <f>IF(AJ$19="","","(Calc+Strip+Demux)")</f>
        <v/>
      </c>
      <c r="AK13" s="38"/>
      <c r="AL13" s="37" t="str">
        <f>IF(AL$19="","","(Calc+Strip+Demux)")</f>
        <v/>
      </c>
      <c r="AM13" s="38"/>
      <c r="AN13" s="37" t="str">
        <f>IF(AN$19="","","(Calc+Strip+Demux)")</f>
        <v/>
      </c>
      <c r="AO13" s="38"/>
      <c r="AP13" s="37" t="str">
        <f>IF(AP$19="","","(Calc+Strip+Demux)")</f>
        <v/>
      </c>
      <c r="AQ13" s="38"/>
      <c r="AR13" s="37" t="str">
        <f>IF(AR$19="","","(Calc+Strip+Demux)")</f>
        <v/>
      </c>
      <c r="AS13" s="38"/>
      <c r="AT13" s="37" t="str">
        <f>IF(AT$19="","","(Calc+Strip+Demux)")</f>
        <v/>
      </c>
      <c r="AU13" s="38"/>
      <c r="AV13" s="37" t="str">
        <f>IF(AV$19="","","(Calc+Strip+Demux)")</f>
        <v/>
      </c>
      <c r="AW13" s="38"/>
      <c r="AX13" s="37" t="str">
        <f>IF(AX$19="","","(Calc+Strip+Demux)")</f>
        <v/>
      </c>
      <c r="AY13" s="38"/>
      <c r="AZ13" s="37" t="str">
        <f>IF(AZ$19="","","(Calc+Strip+Demux)")</f>
        <v/>
      </c>
      <c r="BA13" s="38"/>
      <c r="BB13" s="37" t="str">
        <f>IF(BB$19="","","(Calc+Strip+Demux)")</f>
        <v/>
      </c>
      <c r="BC13" s="38"/>
      <c r="BD13" s="37" t="str">
        <f>IF(BD$19="","","(Calc+Strip+Demux)")</f>
        <v/>
      </c>
      <c r="BE13" s="38"/>
      <c r="BF13" s="37" t="str">
        <f>IF(BF$19="","","(Calc+Strip+Demux)")</f>
        <v/>
      </c>
      <c r="BG13" s="38"/>
      <c r="BH13" s="37" t="str">
        <f>IF(BH$19="","","(Calc+Strip+Demux)")</f>
        <v/>
      </c>
      <c r="BI13" s="38"/>
    </row>
    <row r="14" spans="1:61" ht="15.75" customHeight="1" x14ac:dyDescent="0.25">
      <c r="A14" s="35"/>
      <c r="B14" s="37" t="str">
        <f>IF(B$19="","","(Strip+Demux)")</f>
        <v>(Strip+Demux)</v>
      </c>
      <c r="C14" s="38"/>
      <c r="D14" s="37" t="str">
        <f>IF(D$19="","","(Strip+Demux)")</f>
        <v>(Strip+Demux)</v>
      </c>
      <c r="E14" s="38"/>
      <c r="F14" s="37" t="str">
        <f>IF(F$19="","","(Strip+Demux)")</f>
        <v>(Strip+Demux)</v>
      </c>
      <c r="G14" s="38"/>
      <c r="H14" s="37" t="str">
        <f>IF(H$19="","","(Strip+Demux)")</f>
        <v>(Strip+Demux)</v>
      </c>
      <c r="I14" s="38"/>
      <c r="J14" s="37" t="str">
        <f>IF(J$19="","","(Strip+Demux)")</f>
        <v/>
      </c>
      <c r="K14" s="38"/>
      <c r="L14" s="37" t="str">
        <f>IF(L$19="","","(Strip+Demux)")</f>
        <v/>
      </c>
      <c r="M14" s="38"/>
      <c r="N14" s="37" t="str">
        <f>IF(N$19="","","(Strip+Demux)")</f>
        <v/>
      </c>
      <c r="O14" s="38"/>
      <c r="P14" s="37" t="str">
        <f>IF(P$19="","","(Strip+Demux)")</f>
        <v/>
      </c>
      <c r="Q14" s="38"/>
      <c r="R14" s="37" t="str">
        <f>IF(R$19="","","(Strip+Demux)")</f>
        <v/>
      </c>
      <c r="S14" s="38"/>
      <c r="T14" s="37" t="str">
        <f>IF(T$19="","","(Strip+Demux)")</f>
        <v/>
      </c>
      <c r="U14" s="38"/>
      <c r="V14" s="37" t="str">
        <f>IF(V$19="","","(Strip+Demux)")</f>
        <v/>
      </c>
      <c r="W14" s="38"/>
      <c r="X14" s="37" t="str">
        <f>IF(X$19="","","(Strip+Demux)")</f>
        <v/>
      </c>
      <c r="Y14" s="38"/>
      <c r="Z14" s="37" t="str">
        <f>IF(Z$19="","","(Strip+Demux)")</f>
        <v/>
      </c>
      <c r="AA14" s="38"/>
      <c r="AB14" s="37" t="str">
        <f>IF(AB$19="","","(Strip+Demux)")</f>
        <v/>
      </c>
      <c r="AC14" s="38"/>
      <c r="AD14" s="37" t="str">
        <f>IF(AD$19="","","(Strip+Demux)")</f>
        <v/>
      </c>
      <c r="AE14" s="38"/>
      <c r="AF14" s="37" t="str">
        <f>IF(AF$19="","","(Strip+Demux)")</f>
        <v/>
      </c>
      <c r="AG14" s="38"/>
      <c r="AH14" s="37" t="str">
        <f>IF(AH$19="","","(Strip+Demux)")</f>
        <v/>
      </c>
      <c r="AI14" s="38"/>
      <c r="AJ14" s="37" t="str">
        <f>IF(AJ$19="","","(Strip+Demux)")</f>
        <v/>
      </c>
      <c r="AK14" s="38"/>
      <c r="AL14" s="37" t="str">
        <f>IF(AL$19="","","(Strip+Demux)")</f>
        <v/>
      </c>
      <c r="AM14" s="38"/>
      <c r="AN14" s="37" t="str">
        <f>IF(AN$19="","","(Strip+Demux)")</f>
        <v/>
      </c>
      <c r="AO14" s="38"/>
      <c r="AP14" s="37" t="str">
        <f>IF(AP$19="","","(Strip+Demux)")</f>
        <v/>
      </c>
      <c r="AQ14" s="38"/>
      <c r="AR14" s="37" t="str">
        <f>IF(AR$19="","","(Strip+Demux)")</f>
        <v/>
      </c>
      <c r="AS14" s="38"/>
      <c r="AT14" s="37" t="str">
        <f>IF(AT$19="","","(Strip+Demux)")</f>
        <v/>
      </c>
      <c r="AU14" s="38"/>
      <c r="AV14" s="37" t="str">
        <f>IF(AV$19="","","(Strip+Demux)")</f>
        <v/>
      </c>
      <c r="AW14" s="38"/>
      <c r="AX14" s="37" t="str">
        <f>IF(AX$19="","","(Strip+Demux)")</f>
        <v/>
      </c>
      <c r="AY14" s="38"/>
      <c r="AZ14" s="37" t="str">
        <f>IF(AZ$19="","","(Strip+Demux)")</f>
        <v/>
      </c>
      <c r="BA14" s="38"/>
      <c r="BB14" s="37" t="str">
        <f>IF(BB$19="","","(Strip+Demux)")</f>
        <v/>
      </c>
      <c r="BC14" s="38"/>
      <c r="BD14" s="37" t="str">
        <f>IF(BD$19="","","(Strip+Demux)")</f>
        <v/>
      </c>
      <c r="BE14" s="38"/>
      <c r="BF14" s="37" t="str">
        <f>IF(BF$19="","","(Strip+Demux)")</f>
        <v/>
      </c>
      <c r="BG14" s="38"/>
      <c r="BH14" s="37" t="str">
        <f>IF(BH$19="","","(Strip+Demux)")</f>
        <v/>
      </c>
      <c r="BI14" s="38"/>
    </row>
    <row r="15" spans="1:61" ht="15.75" customHeight="1" x14ac:dyDescent="0.25">
      <c r="A15" s="35"/>
      <c r="B15" s="37" t="str">
        <f>IF(B$19="","","(Post)")</f>
        <v>(Post)</v>
      </c>
      <c r="C15" s="38"/>
      <c r="D15" s="37" t="str">
        <f>IF(D$19="","","(Post)")</f>
        <v>(Post)</v>
      </c>
      <c r="E15" s="38"/>
      <c r="F15" s="37" t="str">
        <f>IF(F$19="","","(Post)")</f>
        <v>(Post)</v>
      </c>
      <c r="G15" s="38"/>
      <c r="H15" s="37" t="str">
        <f>IF(H$19="","","(Post)")</f>
        <v>(Post)</v>
      </c>
      <c r="I15" s="38"/>
      <c r="J15" s="37" t="str">
        <f>IF(J$19="","","(Post)")</f>
        <v/>
      </c>
      <c r="K15" s="38"/>
      <c r="L15" s="37" t="str">
        <f>IF(L$19="","","(Post)")</f>
        <v/>
      </c>
      <c r="M15" s="38"/>
      <c r="N15" s="37" t="str">
        <f>IF(N$19="","","(Post)")</f>
        <v/>
      </c>
      <c r="O15" s="38"/>
      <c r="P15" s="37" t="str">
        <f>IF(P$19="","","(Post)")</f>
        <v/>
      </c>
      <c r="Q15" s="38"/>
      <c r="R15" s="37" t="str">
        <f>IF(R$19="","","(Post)")</f>
        <v/>
      </c>
      <c r="S15" s="38"/>
      <c r="T15" s="37" t="str">
        <f>IF(T$19="","","(Post)")</f>
        <v/>
      </c>
      <c r="U15" s="38"/>
      <c r="V15" s="37" t="str">
        <f>IF(V$19="","","(Post)")</f>
        <v/>
      </c>
      <c r="W15" s="38"/>
      <c r="X15" s="37" t="str">
        <f>IF(X$19="","","(Post)")</f>
        <v/>
      </c>
      <c r="Y15" s="38"/>
      <c r="Z15" s="37" t="str">
        <f>IF(Z$19="","","(Post)")</f>
        <v/>
      </c>
      <c r="AA15" s="38"/>
      <c r="AB15" s="37" t="str">
        <f>IF(AB$19="","","(Post)")</f>
        <v/>
      </c>
      <c r="AC15" s="38"/>
      <c r="AD15" s="37" t="str">
        <f>IF(AD$19="","","(Post)")</f>
        <v/>
      </c>
      <c r="AE15" s="38"/>
      <c r="AF15" s="37" t="str">
        <f>IF(AF$19="","","(Post)")</f>
        <v/>
      </c>
      <c r="AG15" s="38"/>
      <c r="AH15" s="37" t="str">
        <f>IF(AH$19="","","(Post)")</f>
        <v/>
      </c>
      <c r="AI15" s="38"/>
      <c r="AJ15" s="37" t="str">
        <f>IF(AJ$19="","","(Post)")</f>
        <v/>
      </c>
      <c r="AK15" s="38"/>
      <c r="AL15" s="37" t="str">
        <f>IF(AL$19="","","(Post)")</f>
        <v/>
      </c>
      <c r="AM15" s="38"/>
      <c r="AN15" s="37" t="str">
        <f>IF(AN$19="","","(Post)")</f>
        <v/>
      </c>
      <c r="AO15" s="38"/>
      <c r="AP15" s="37" t="str">
        <f>IF(AP$19="","","(Post)")</f>
        <v/>
      </c>
      <c r="AQ15" s="38"/>
      <c r="AR15" s="37" t="str">
        <f>IF(AR$19="","","(Post)")</f>
        <v/>
      </c>
      <c r="AS15" s="38"/>
      <c r="AT15" s="37" t="str">
        <f>IF(AT$19="","","(Post)")</f>
        <v/>
      </c>
      <c r="AU15" s="38"/>
      <c r="AV15" s="37" t="str">
        <f>IF(AV$19="","","(Post)")</f>
        <v/>
      </c>
      <c r="AW15" s="38"/>
      <c r="AX15" s="37" t="str">
        <f>IF(AX$19="","","(Post)")</f>
        <v/>
      </c>
      <c r="AY15" s="38"/>
      <c r="AZ15" s="37" t="str">
        <f>IF(AZ$19="","","(Post)")</f>
        <v/>
      </c>
      <c r="BA15" s="38"/>
      <c r="BB15" s="37" t="str">
        <f>IF(BB$19="","","(Post)")</f>
        <v/>
      </c>
      <c r="BC15" s="38"/>
      <c r="BD15" s="37" t="str">
        <f>IF(BD$19="","","(Post)")</f>
        <v/>
      </c>
      <c r="BE15" s="38"/>
      <c r="BF15" s="37" t="str">
        <f>IF(BF$19="","","(Post)")</f>
        <v/>
      </c>
      <c r="BG15" s="38"/>
      <c r="BH15" s="37" t="str">
        <f>IF(BH$19="","","(Post)")</f>
        <v/>
      </c>
      <c r="BI15" s="38"/>
    </row>
    <row r="16" spans="1:61" x14ac:dyDescent="0.25">
      <c r="A16" s="35"/>
      <c r="B16" s="37" t="str">
        <f>IF(B$19="","","(Calc+Post)")</f>
        <v>(Calc+Post)</v>
      </c>
      <c r="C16" s="38"/>
      <c r="D16" s="37" t="str">
        <f>IF(D$19="","","(Calc+Post)")</f>
        <v>(Calc+Post)</v>
      </c>
      <c r="E16" s="38"/>
      <c r="F16" s="37" t="str">
        <f>IF(F$19="","","(Calc+Post)")</f>
        <v>(Calc+Post)</v>
      </c>
      <c r="G16" s="38"/>
      <c r="H16" s="37" t="str">
        <f>IF(H$19="","","(Calc+Post)")</f>
        <v>(Calc+Post)</v>
      </c>
      <c r="I16" s="38"/>
      <c r="J16" s="37" t="str">
        <f>IF(J$19="","","(Calc+Post)")</f>
        <v/>
      </c>
      <c r="K16" s="38"/>
      <c r="L16" s="37" t="str">
        <f>IF(L$19="","","(Calc+Post)")</f>
        <v/>
      </c>
      <c r="M16" s="38"/>
      <c r="N16" s="37" t="str">
        <f>IF(N$19="","","(Calc+Post)")</f>
        <v/>
      </c>
      <c r="O16" s="38"/>
      <c r="P16" s="37" t="str">
        <f>IF(P$19="","","(Calc+Post)")</f>
        <v/>
      </c>
      <c r="Q16" s="38"/>
      <c r="R16" s="37" t="str">
        <f>IF(R$19="","","(Calc+Post)")</f>
        <v/>
      </c>
      <c r="S16" s="38"/>
      <c r="T16" s="37" t="str">
        <f>IF(T$19="","","(Calc+Post)")</f>
        <v/>
      </c>
      <c r="U16" s="38"/>
      <c r="V16" s="37" t="str">
        <f>IF(V$19="","","(Calc+Post)")</f>
        <v/>
      </c>
      <c r="W16" s="38"/>
      <c r="X16" s="37" t="str">
        <f>IF(X$19="","","(Calc+Post)")</f>
        <v/>
      </c>
      <c r="Y16" s="38"/>
      <c r="Z16" s="37" t="str">
        <f>IF(Z$19="","","(Calc+Post)")</f>
        <v/>
      </c>
      <c r="AA16" s="38"/>
      <c r="AB16" s="37" t="str">
        <f>IF(AB$19="","","(Calc+Post)")</f>
        <v/>
      </c>
      <c r="AC16" s="38"/>
      <c r="AD16" s="37" t="str">
        <f>IF(AD$19="","","(Calc+Post)")</f>
        <v/>
      </c>
      <c r="AE16" s="38"/>
      <c r="AF16" s="37" t="str">
        <f>IF(AF$19="","","(Calc+Post)")</f>
        <v/>
      </c>
      <c r="AG16" s="38"/>
      <c r="AH16" s="37" t="str">
        <f>IF(AH$19="","","(Calc+Post)")</f>
        <v/>
      </c>
      <c r="AI16" s="38"/>
      <c r="AJ16" s="37" t="str">
        <f>IF(AJ$19="","","(Calc+Post)")</f>
        <v/>
      </c>
      <c r="AK16" s="38"/>
      <c r="AL16" s="37" t="str">
        <f>IF(AL$19="","","(Calc+Post)")</f>
        <v/>
      </c>
      <c r="AM16" s="38"/>
      <c r="AN16" s="37" t="str">
        <f>IF(AN$19="","","(Calc+Post)")</f>
        <v/>
      </c>
      <c r="AO16" s="38"/>
      <c r="AP16" s="37" t="str">
        <f>IF(AP$19="","","(Calc+Post)")</f>
        <v/>
      </c>
      <c r="AQ16" s="38"/>
      <c r="AR16" s="37" t="str">
        <f>IF(AR$19="","","(Calc+Post)")</f>
        <v/>
      </c>
      <c r="AS16" s="38"/>
      <c r="AT16" s="37" t="str">
        <f>IF(AT$19="","","(Calc+Post)")</f>
        <v/>
      </c>
      <c r="AU16" s="38"/>
      <c r="AV16" s="37" t="str">
        <f>IF(AV$19="","","(Calc+Post)")</f>
        <v/>
      </c>
      <c r="AW16" s="38"/>
      <c r="AX16" s="37" t="str">
        <f>IF(AX$19="","","(Calc+Post)")</f>
        <v/>
      </c>
      <c r="AY16" s="38"/>
      <c r="AZ16" s="37" t="str">
        <f>IF(AZ$19="","","(Calc+Post)")</f>
        <v/>
      </c>
      <c r="BA16" s="38"/>
      <c r="BB16" s="37" t="str">
        <f>IF(BB$19="","","(Calc+Post)")</f>
        <v/>
      </c>
      <c r="BC16" s="38"/>
      <c r="BD16" s="37" t="str">
        <f>IF(BD$19="","","(Calc+Post)")</f>
        <v/>
      </c>
      <c r="BE16" s="38"/>
      <c r="BF16" s="37" t="str">
        <f>IF(BF$19="","","(Calc+Post)")</f>
        <v/>
      </c>
      <c r="BG16" s="38"/>
      <c r="BH16" s="37" t="str">
        <f>IF(BH$19="","","(Calc+Post)")</f>
        <v/>
      </c>
      <c r="BI16" s="38"/>
    </row>
    <row r="17" spans="1:61" x14ac:dyDescent="0.25">
      <c r="A17" s="36"/>
      <c r="B17" s="41" t="str">
        <f>IF(B$19="","","(ps2pdf)")</f>
        <v>(ps2pdf)</v>
      </c>
      <c r="C17" s="42"/>
      <c r="D17" s="41" t="str">
        <f>IF(D$19="","","(ps2pdf)")</f>
        <v>(ps2pdf)</v>
      </c>
      <c r="E17" s="42"/>
      <c r="F17" s="41" t="str">
        <f>IF(F$19="","","(ps2pdf)")</f>
        <v>(ps2pdf)</v>
      </c>
      <c r="G17" s="42"/>
      <c r="H17" s="41" t="str">
        <f>IF(H$19="","","(ps2pdf)")</f>
        <v>(ps2pdf)</v>
      </c>
      <c r="I17" s="42"/>
      <c r="J17" s="41" t="str">
        <f>IF(J$19="","","(ps2pdf)")</f>
        <v/>
      </c>
      <c r="K17" s="42"/>
      <c r="L17" s="41" t="str">
        <f>IF(L$19="","","(ps2pdf)")</f>
        <v/>
      </c>
      <c r="M17" s="42"/>
      <c r="N17" s="41" t="str">
        <f>IF(N$19="","","(ps2pdf)")</f>
        <v/>
      </c>
      <c r="O17" s="42"/>
      <c r="P17" s="41" t="str">
        <f>IF(P$19="","","(ps2pdf)")</f>
        <v/>
      </c>
      <c r="Q17" s="42"/>
      <c r="R17" s="41" t="str">
        <f>IF(R$19="","","(ps2pdf)")</f>
        <v/>
      </c>
      <c r="S17" s="42"/>
      <c r="T17" s="41" t="str">
        <f>IF(T$19="","","(ps2pdf)")</f>
        <v/>
      </c>
      <c r="U17" s="42"/>
      <c r="V17" s="41" t="str">
        <f>IF(V$19="","","(ps2pdf)")</f>
        <v/>
      </c>
      <c r="W17" s="42"/>
      <c r="X17" s="41" t="str">
        <f>IF(X$19="","","(ps2pdf)")</f>
        <v/>
      </c>
      <c r="Y17" s="42"/>
      <c r="Z17" s="41" t="str">
        <f>IF(Z$19="","","(ps2pdf)")</f>
        <v/>
      </c>
      <c r="AA17" s="42"/>
      <c r="AB17" s="41" t="str">
        <f>IF(AB$19="","","(ps2pdf)")</f>
        <v/>
      </c>
      <c r="AC17" s="42"/>
      <c r="AD17" s="41" t="str">
        <f>IF(AD$19="","","(ps2pdf)")</f>
        <v/>
      </c>
      <c r="AE17" s="42"/>
      <c r="AF17" s="41" t="str">
        <f>IF(AF$19="","","(ps2pdf)")</f>
        <v/>
      </c>
      <c r="AG17" s="42"/>
      <c r="AH17" s="41" t="str">
        <f>IF(AH$19="","","(ps2pdf)")</f>
        <v/>
      </c>
      <c r="AI17" s="42"/>
      <c r="AJ17" s="41" t="str">
        <f>IF(AJ$19="","","(ps2pdf)")</f>
        <v/>
      </c>
      <c r="AK17" s="42"/>
      <c r="AL17" s="41" t="str">
        <f>IF(AL$19="","","(ps2pdf)")</f>
        <v/>
      </c>
      <c r="AM17" s="42"/>
      <c r="AN17" s="41" t="str">
        <f>IF(AN$19="","","(ps2pdf)")</f>
        <v/>
      </c>
      <c r="AO17" s="42"/>
      <c r="AP17" s="41" t="str">
        <f>IF(AP$19="","","(ps2pdf)")</f>
        <v/>
      </c>
      <c r="AQ17" s="42"/>
      <c r="AR17" s="41" t="str">
        <f>IF(AR$19="","","(ps2pdf)")</f>
        <v/>
      </c>
      <c r="AS17" s="42"/>
      <c r="AT17" s="41" t="str">
        <f>IF(AT$19="","","(ps2pdf)")</f>
        <v/>
      </c>
      <c r="AU17" s="42"/>
      <c r="AV17" s="41" t="str">
        <f>IF(AV$19="","","(ps2pdf)")</f>
        <v/>
      </c>
      <c r="AW17" s="42"/>
      <c r="AX17" s="41" t="str">
        <f>IF(AX$19="","","(ps2pdf)")</f>
        <v/>
      </c>
      <c r="AY17" s="42"/>
      <c r="AZ17" s="41" t="str">
        <f>IF(AZ$19="","","(ps2pdf)")</f>
        <v/>
      </c>
      <c r="BA17" s="42"/>
      <c r="BB17" s="41" t="str">
        <f>IF(BB$19="","","(ps2pdf)")</f>
        <v/>
      </c>
      <c r="BC17" s="42"/>
      <c r="BD17" s="41" t="str">
        <f>IF(BD$19="","","(ps2pdf)")</f>
        <v/>
      </c>
      <c r="BE17" s="42"/>
      <c r="BF17" s="41" t="str">
        <f>IF(BF$19="","","(ps2pdf)")</f>
        <v/>
      </c>
      <c r="BG17" s="42"/>
      <c r="BH17" s="41" t="str">
        <f>IF(BH$19="","","(ps2pdf)")</f>
        <v/>
      </c>
      <c r="BI17" s="42"/>
    </row>
    <row r="18" spans="1:61" ht="18.75" x14ac:dyDescent="0.3">
      <c r="A18" s="12" t="s">
        <v>0</v>
      </c>
      <c r="B18" s="43" t="s">
        <v>36</v>
      </c>
      <c r="C18" s="44"/>
      <c r="D18" s="43">
        <v>1</v>
      </c>
      <c r="E18" s="44"/>
      <c r="F18" s="43">
        <f>D18+1</f>
        <v>2</v>
      </c>
      <c r="G18" s="44"/>
      <c r="H18" s="43">
        <f>F18+1</f>
        <v>3</v>
      </c>
      <c r="I18" s="44"/>
      <c r="J18" s="43">
        <f>H18+1</f>
        <v>4</v>
      </c>
      <c r="K18" s="44"/>
      <c r="L18" s="43">
        <f>J18+1</f>
        <v>5</v>
      </c>
      <c r="M18" s="44"/>
      <c r="N18" s="43">
        <f>L18+1</f>
        <v>6</v>
      </c>
      <c r="O18" s="44"/>
      <c r="P18" s="43">
        <f>N18+1</f>
        <v>7</v>
      </c>
      <c r="Q18" s="44"/>
      <c r="R18" s="43">
        <f>P18+1</f>
        <v>8</v>
      </c>
      <c r="S18" s="44"/>
      <c r="T18" s="43">
        <f>R18+1</f>
        <v>9</v>
      </c>
      <c r="U18" s="44"/>
      <c r="V18" s="43">
        <f>T18+1</f>
        <v>10</v>
      </c>
      <c r="W18" s="44"/>
      <c r="X18" s="43">
        <f>V18+1</f>
        <v>11</v>
      </c>
      <c r="Y18" s="44"/>
      <c r="Z18" s="43">
        <f>X18+1</f>
        <v>12</v>
      </c>
      <c r="AA18" s="44"/>
      <c r="AB18" s="43">
        <f>Z18+1</f>
        <v>13</v>
      </c>
      <c r="AC18" s="44"/>
      <c r="AD18" s="43">
        <f>AB18+1</f>
        <v>14</v>
      </c>
      <c r="AE18" s="44"/>
      <c r="AF18" s="43">
        <f>AD18+1</f>
        <v>15</v>
      </c>
      <c r="AG18" s="44"/>
      <c r="AH18" s="43">
        <f>AF18+1</f>
        <v>16</v>
      </c>
      <c r="AI18" s="44"/>
      <c r="AJ18" s="43">
        <f>AH18+1</f>
        <v>17</v>
      </c>
      <c r="AK18" s="44"/>
      <c r="AL18" s="43">
        <f>AJ18+1</f>
        <v>18</v>
      </c>
      <c r="AM18" s="44"/>
      <c r="AN18" s="43">
        <f>AL18+1</f>
        <v>19</v>
      </c>
      <c r="AO18" s="44"/>
      <c r="AP18" s="43">
        <f>AN18+1</f>
        <v>20</v>
      </c>
      <c r="AQ18" s="44"/>
      <c r="AR18" s="43">
        <f>AP18+1</f>
        <v>21</v>
      </c>
      <c r="AS18" s="44"/>
      <c r="AT18" s="43">
        <f>AR18+1</f>
        <v>22</v>
      </c>
      <c r="AU18" s="44"/>
      <c r="AV18" s="43">
        <f>AT18+1</f>
        <v>23</v>
      </c>
      <c r="AW18" s="44"/>
      <c r="AX18" s="43">
        <f>AV18+1</f>
        <v>24</v>
      </c>
      <c r="AY18" s="44"/>
      <c r="AZ18" s="43">
        <f>AX18+1</f>
        <v>25</v>
      </c>
      <c r="BA18" s="44"/>
      <c r="BB18" s="43">
        <f>AZ18+1</f>
        <v>26</v>
      </c>
      <c r="BC18" s="44"/>
      <c r="BD18" s="43">
        <f>BB18+1</f>
        <v>27</v>
      </c>
      <c r="BE18" s="44"/>
      <c r="BF18" s="43">
        <f>BD18+1</f>
        <v>28</v>
      </c>
      <c r="BG18" s="44"/>
      <c r="BH18" s="43">
        <f>BF18+1</f>
        <v>29</v>
      </c>
      <c r="BI18" s="44"/>
    </row>
    <row r="19" spans="1:61" ht="18.75" x14ac:dyDescent="0.3">
      <c r="A19" s="13" t="s">
        <v>2</v>
      </c>
      <c r="B19" s="45" t="s">
        <v>1</v>
      </c>
      <c r="C19" s="46"/>
      <c r="D19" s="45" t="s">
        <v>1</v>
      </c>
      <c r="E19" s="46"/>
      <c r="F19" s="45" t="s">
        <v>28</v>
      </c>
      <c r="G19" s="46"/>
      <c r="H19" s="45" t="s">
        <v>29</v>
      </c>
      <c r="I19" s="46"/>
      <c r="J19" s="45"/>
      <c r="K19" s="46"/>
      <c r="L19" s="45"/>
      <c r="M19" s="46"/>
      <c r="N19" s="45"/>
      <c r="O19" s="46"/>
      <c r="P19" s="45"/>
      <c r="Q19" s="46"/>
      <c r="R19" s="45"/>
      <c r="S19" s="46"/>
      <c r="T19" s="45"/>
      <c r="U19" s="46"/>
      <c r="V19" s="45"/>
      <c r="W19" s="46"/>
      <c r="X19" s="45"/>
      <c r="Y19" s="46"/>
      <c r="Z19" s="45"/>
      <c r="AA19" s="46"/>
      <c r="AB19" s="45"/>
      <c r="AC19" s="46"/>
      <c r="AD19" s="45"/>
      <c r="AE19" s="46"/>
      <c r="AF19" s="45"/>
      <c r="AG19" s="46"/>
      <c r="AH19" s="45"/>
      <c r="AI19" s="46"/>
      <c r="AJ19" s="45"/>
      <c r="AK19" s="46"/>
      <c r="AL19" s="45"/>
      <c r="AM19" s="46"/>
      <c r="AN19" s="45"/>
      <c r="AO19" s="46"/>
      <c r="AP19" s="45"/>
      <c r="AQ19" s="46"/>
      <c r="AR19" s="45"/>
      <c r="AS19" s="46"/>
      <c r="AT19" s="45"/>
      <c r="AU19" s="46"/>
      <c r="AV19" s="45"/>
      <c r="AW19" s="46"/>
      <c r="AX19" s="45"/>
      <c r="AY19" s="46"/>
      <c r="AZ19" s="45"/>
      <c r="BA19" s="46"/>
      <c r="BB19" s="45"/>
      <c r="BC19" s="46"/>
      <c r="BD19" s="45"/>
      <c r="BE19" s="46"/>
      <c r="BF19" s="45"/>
      <c r="BG19" s="46"/>
      <c r="BH19" s="45"/>
      <c r="BI19" s="46"/>
    </row>
    <row r="20" spans="1:61" ht="43.5" customHeight="1" x14ac:dyDescent="0.25">
      <c r="A20" s="33" t="s">
        <v>33</v>
      </c>
      <c r="B20" s="47" t="s">
        <v>37</v>
      </c>
      <c r="C20" s="48"/>
      <c r="D20" s="47" t="s">
        <v>1</v>
      </c>
      <c r="E20" s="48"/>
      <c r="F20" s="47" t="s">
        <v>38</v>
      </c>
      <c r="G20" s="48"/>
      <c r="H20" s="47" t="s">
        <v>39</v>
      </c>
      <c r="I20" s="48"/>
      <c r="J20" s="47"/>
      <c r="K20" s="48"/>
      <c r="L20" s="47"/>
      <c r="M20" s="48"/>
      <c r="N20" s="47"/>
      <c r="O20" s="48"/>
      <c r="P20" s="47"/>
      <c r="Q20" s="48"/>
      <c r="R20" s="47"/>
      <c r="S20" s="48"/>
      <c r="T20" s="47"/>
      <c r="U20" s="48"/>
      <c r="V20" s="47"/>
      <c r="W20" s="48"/>
      <c r="X20" s="47"/>
      <c r="Y20" s="48"/>
      <c r="Z20" s="60"/>
      <c r="AA20" s="61"/>
      <c r="AB20" s="60"/>
      <c r="AC20" s="61"/>
      <c r="AD20" s="60"/>
      <c r="AE20" s="61"/>
      <c r="AF20" s="60"/>
      <c r="AG20" s="61"/>
      <c r="AH20" s="60"/>
      <c r="AI20" s="61"/>
      <c r="AJ20" s="60"/>
      <c r="AK20" s="61"/>
      <c r="AL20" s="60"/>
      <c r="AM20" s="61"/>
      <c r="AN20" s="60"/>
      <c r="AO20" s="61"/>
      <c r="AP20" s="60"/>
      <c r="AQ20" s="61"/>
      <c r="AR20" s="60"/>
      <c r="AS20" s="61"/>
      <c r="AT20" s="60"/>
      <c r="AU20" s="61"/>
      <c r="AV20" s="60"/>
      <c r="AW20" s="61"/>
      <c r="AX20" s="60"/>
      <c r="AY20" s="61"/>
      <c r="AZ20" s="60"/>
      <c r="BA20" s="61"/>
      <c r="BB20" s="60"/>
      <c r="BC20" s="61"/>
      <c r="BD20" s="60"/>
      <c r="BE20" s="61"/>
      <c r="BF20" s="60"/>
      <c r="BG20" s="61"/>
      <c r="BH20" s="60"/>
      <c r="BI20" s="61"/>
    </row>
    <row r="21" spans="1:61" ht="20.25" x14ac:dyDescent="0.35">
      <c r="A21" s="13" t="s">
        <v>34</v>
      </c>
      <c r="B21" s="28">
        <v>100</v>
      </c>
      <c r="C21" s="31">
        <v>500</v>
      </c>
      <c r="D21" s="28">
        <v>0</v>
      </c>
      <c r="E21" s="31">
        <v>10</v>
      </c>
      <c r="F21" s="28">
        <v>500</v>
      </c>
      <c r="G21" s="31">
        <v>1500</v>
      </c>
      <c r="H21" s="28">
        <v>500</v>
      </c>
      <c r="I21" s="31">
        <v>1500</v>
      </c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56"/>
      <c r="AA21" s="57"/>
      <c r="AB21" s="56"/>
      <c r="AC21" s="57"/>
      <c r="AD21" s="56"/>
      <c r="AE21" s="57"/>
      <c r="AF21" s="56"/>
      <c r="AG21" s="57"/>
      <c r="AH21" s="56"/>
      <c r="AI21" s="57"/>
      <c r="AJ21" s="56"/>
      <c r="AK21" s="57"/>
      <c r="AL21" s="56"/>
      <c r="AM21" s="57"/>
      <c r="AN21" s="56"/>
      <c r="AO21" s="57"/>
      <c r="AP21" s="56"/>
      <c r="AQ21" s="57"/>
      <c r="AR21" s="56"/>
      <c r="AS21" s="57"/>
      <c r="AT21" s="56"/>
      <c r="AU21" s="57"/>
      <c r="AV21" s="56"/>
      <c r="AW21" s="57"/>
      <c r="AX21" s="56"/>
      <c r="AY21" s="57"/>
      <c r="AZ21" s="56"/>
      <c r="BA21" s="57"/>
      <c r="BB21" s="56"/>
      <c r="BC21" s="57"/>
      <c r="BD21" s="56"/>
      <c r="BE21" s="57"/>
      <c r="BF21" s="56"/>
      <c r="BG21" s="57"/>
      <c r="BH21" s="56"/>
      <c r="BI21" s="57"/>
    </row>
    <row r="22" spans="1:61" ht="20.25" x14ac:dyDescent="0.35">
      <c r="A22" s="13" t="s">
        <v>35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58"/>
      <c r="AA22" s="59"/>
      <c r="AB22" s="58"/>
      <c r="AC22" s="59"/>
      <c r="AD22" s="58"/>
      <c r="AE22" s="59"/>
      <c r="AF22" s="58"/>
      <c r="AG22" s="59"/>
      <c r="AH22" s="58"/>
      <c r="AI22" s="59"/>
      <c r="AJ22" s="58"/>
      <c r="AK22" s="59"/>
      <c r="AL22" s="58"/>
      <c r="AM22" s="59"/>
      <c r="AN22" s="58"/>
      <c r="AO22" s="59"/>
      <c r="AP22" s="58"/>
      <c r="AQ22" s="59"/>
      <c r="AR22" s="58"/>
      <c r="AS22" s="59"/>
      <c r="AT22" s="58"/>
      <c r="AU22" s="59"/>
      <c r="AV22" s="58"/>
      <c r="AW22" s="59"/>
      <c r="AX22" s="58"/>
      <c r="AY22" s="59"/>
      <c r="AZ22" s="58"/>
      <c r="BA22" s="59"/>
      <c r="BB22" s="58"/>
      <c r="BC22" s="59"/>
      <c r="BD22" s="58"/>
      <c r="BE22" s="59"/>
      <c r="BF22" s="58"/>
      <c r="BG22" s="59"/>
      <c r="BH22" s="58"/>
      <c r="BI22" s="59"/>
    </row>
    <row r="23" spans="1:61" ht="18.75" x14ac:dyDescent="0.3">
      <c r="A23" s="13" t="s">
        <v>11</v>
      </c>
      <c r="B23" s="6" t="str">
        <f>IF(B19="","",HYPERLINK(IF(ISERROR(FIND("\",B19)),CONCATENATE(B19,"\",B19,"_log.txt"),CONCATENATE(B19,"_log.txt"))))</f>
        <v>Case1\Case1_log.txt</v>
      </c>
      <c r="C23" s="10" t="s">
        <v>16</v>
      </c>
      <c r="D23" s="6" t="str">
        <f>IF(D19="","",HYPERLINK(IF(ISERROR(FIND("\",D19)),CONCATENATE(D19,"\",D19,"_log.txt"),CONCATENATE(D19,"_log.txt"))))</f>
        <v>Case1\Case1_log.txt</v>
      </c>
      <c r="E23" s="10" t="s">
        <v>16</v>
      </c>
      <c r="F23" s="6" t="str">
        <f>IF(F19="","",HYPERLINK(IF(ISERROR(FIND("\",F19)),CONCATENATE(F19,"\",F19,"_log.txt"),CONCATENATE(F19,"_log.txt"))))</f>
        <v>Case2\Case2_log.txt</v>
      </c>
      <c r="G23" s="10" t="s">
        <v>16</v>
      </c>
      <c r="H23" s="6" t="str">
        <f>IF(H19="","",HYPERLINK(IF(ISERROR(FIND("\",H19)),CONCATENATE(H19,"\",H19,"_log.txt"),CONCATENATE(H19,"_log.txt"))))</f>
        <v>Case3\Case3_log.txt</v>
      </c>
      <c r="I23" s="10" t="s">
        <v>16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3</v>
      </c>
      <c r="B24" s="6" t="str">
        <f>IF(B19="","",HYPERLINK(IF(ISERROR(FIND("\",B19)),CONCATENATE(B19,"\",B19,".i"),CONCATENATE(B19,".i"))))</f>
        <v>Case1\Case1.i</v>
      </c>
      <c r="C24" s="11">
        <v>43738.616215277776</v>
      </c>
      <c r="D24" s="6" t="str">
        <f>IF(D19="","",HYPERLINK(IF(ISERROR(FIND("\",D19)),CONCATENATE(D19,"\",D19,".i"),CONCATENATE(D19,".i"))))</f>
        <v>Case1\Case1.i</v>
      </c>
      <c r="E24" s="11">
        <v>43738.616215277776</v>
      </c>
      <c r="F24" s="6" t="str">
        <f>IF(F19="","",HYPERLINK(IF(ISERROR(FIND("\",F19)),CONCATENATE(F19,"\",F19,".i"),CONCATENATE(F19,".i"))))</f>
        <v>Case2\Case2.i</v>
      </c>
      <c r="G24" s="11" t="s">
        <v>16</v>
      </c>
      <c r="H24" s="6" t="str">
        <f>IF(H19="","",HYPERLINK(IF(ISERROR(FIND("\",H19)),CONCATENATE(H19,"\",H19,".i"),CONCATENATE(H19,".i"))))</f>
        <v>Case3\Case3.i</v>
      </c>
      <c r="I24" s="11" t="s">
        <v>16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4</v>
      </c>
      <c r="B25" s="6" t="str">
        <f>HYPERLINK(changeFileExtension(B$24,".o"))</f>
        <v>Case1\Case1.o</v>
      </c>
      <c r="C25" s="11">
        <v>43738.623414351852</v>
      </c>
      <c r="D25" s="6" t="str">
        <f>HYPERLINK(changeFileExtension(D$24,".o"))</f>
        <v>Case1\Case1.o</v>
      </c>
      <c r="E25" s="11">
        <v>43738.623414351852</v>
      </c>
      <c r="F25" s="6" t="str">
        <f>HYPERLINK(changeFileExtension(F$24,".o"))</f>
        <v>Case2\Case2.o</v>
      </c>
      <c r="G25" s="11" t="s">
        <v>16</v>
      </c>
      <c r="H25" s="6" t="str">
        <f>HYPERLINK(changeFileExtension(H$24,".o"))</f>
        <v>Case3\Case3.o</v>
      </c>
      <c r="I25" s="11" t="s">
        <v>16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5</v>
      </c>
      <c r="B26" s="6" t="str">
        <f>IF(B19="","",IF(ISERROR(FIND("\",B19)),CONCATENATE(B19,"\",B19,".rst"),CONCATENATE(B19,".rst")))</f>
        <v>Case1\Case1.rst</v>
      </c>
      <c r="C26" s="11">
        <v>43738.623414351852</v>
      </c>
      <c r="D26" s="6" t="str">
        <f>IF(D19="","",IF(ISERROR(FIND("\",D19)),CONCATENATE(D19,"\",D19,".rst"),CONCATENATE(D19,".rst")))</f>
        <v>Case1\Case1.rst</v>
      </c>
      <c r="E26" s="11">
        <v>43738.623414351852</v>
      </c>
      <c r="F26" s="6" t="str">
        <f>IF(F19="","",IF(ISERROR(FIND("\",F19)),CONCATENATE(F19,"\",F19,".rst"),CONCATENATE(F19,".rst")))</f>
        <v>Case2\Case2.rst</v>
      </c>
      <c r="G26" s="11" t="s">
        <v>16</v>
      </c>
      <c r="H26" s="6" t="str">
        <f>HYPERLINK(changeFileExtension(H$24,".rst"))</f>
        <v>Case3\Case3.rst</v>
      </c>
      <c r="I26" s="11" t="s">
        <v>16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6</v>
      </c>
      <c r="B27" s="6" t="str">
        <f>IF(B19="","",IF(ISERROR(FIND("\",B19)),CONCATENATE(B19,"\",B19,".dmx"),CONCATENATE(B19,".dmx")))</f>
        <v>Case1\Case1.dmx</v>
      </c>
      <c r="C27" s="11">
        <v>43738.631956018522</v>
      </c>
      <c r="D27" s="6" t="str">
        <f>IF(D19="","",IF(ISERROR(FIND("\",D19)),CONCATENATE(D19,"\",D19,".dmx"),CONCATENATE(D19,".dmx")))</f>
        <v>Case1\Case1.dmx</v>
      </c>
      <c r="E27" s="11">
        <v>43738.631956018522</v>
      </c>
      <c r="F27" s="6" t="str">
        <f>IF(F19="","",IF(ISERROR(FIND("\",F19)),CONCATENATE(F19,"\",F19,".dmx"),CONCATENATE(F19,".dmx")))</f>
        <v>Case2\Case2.dmx</v>
      </c>
      <c r="G27" s="11" t="s">
        <v>16</v>
      </c>
      <c r="H27" s="6" t="str">
        <f>IF(H19="","",IF(ISERROR(FIND("\",H19)),CONCATENATE(H19,"\",H19,".dmx"),CONCATENATE(H19,".dmx")))</f>
        <v>Case3\Case3.dmx</v>
      </c>
      <c r="I27" s="11" t="s">
        <v>16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7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13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8</v>
      </c>
      <c r="B30" s="6" t="str">
        <f>HYPERLINK(changeFileExtension(B$24,".str"))</f>
        <v>Case1\Case1.str</v>
      </c>
      <c r="C30" s="11">
        <v>43738.631874999999</v>
      </c>
      <c r="D30" s="6" t="str">
        <f>HYPERLINK(changeFileExtension(D$24,".str"))</f>
        <v>Case1\Case1.str</v>
      </c>
      <c r="E30" s="11">
        <v>43738.631874999999</v>
      </c>
      <c r="F30" s="6" t="str">
        <f>HYPERLINK(changeFileExtension(F$24,".str"))</f>
        <v>Case2\Case2.str</v>
      </c>
      <c r="G30" s="11" t="s">
        <v>16</v>
      </c>
      <c r="H30" s="6" t="str">
        <f>HYPERLINK(changeFileExtension(H$24,".str"))</f>
        <v>Case3\Case3.str</v>
      </c>
      <c r="I30" s="11" t="s">
        <v>16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45</v>
      </c>
      <c r="B31" s="6" t="str">
        <f>HYPERLINK(changeFileExtension(B$24,".csv"))</f>
        <v>Case1\Case1.csv</v>
      </c>
      <c r="C31" s="11">
        <v>43738.631886574076</v>
      </c>
      <c r="D31" s="6" t="str">
        <f>HYPERLINK(changeFileExtension(D$24,".csv"))</f>
        <v>Case1\Case1.csv</v>
      </c>
      <c r="E31" s="11">
        <v>43738.631886574076</v>
      </c>
      <c r="F31" s="6" t="str">
        <f>HYPERLINK(changeFileExtension(F$24,".csv"))</f>
        <v>Case2\Case2.csv</v>
      </c>
      <c r="G31" s="11" t="s">
        <v>16</v>
      </c>
      <c r="H31" s="6" t="str">
        <f>HYPERLINK(changeFileExtension(H$24,".csv"))</f>
        <v>Case3\Case3.csv</v>
      </c>
      <c r="I31" s="11" t="s">
        <v>16</v>
      </c>
      <c r="J31" s="6" t="str">
        <f>HYPERLINK(changeFileExtension(J$24,".csv"))</f>
        <v/>
      </c>
      <c r="K31" s="11"/>
      <c r="L31" s="6" t="str">
        <f>HYPERLINK(changeFileExtension(L$24,".csv"))</f>
        <v/>
      </c>
      <c r="M31" s="11"/>
      <c r="N31" s="6" t="str">
        <f>HYPERLINK(changeFileExtension(N$24,".csv"))</f>
        <v/>
      </c>
      <c r="O31" s="11"/>
      <c r="P31" s="6" t="str">
        <f>HYPERLINK(changeFileExtension(P$24,".csv"))</f>
        <v/>
      </c>
      <c r="Q31" s="11"/>
      <c r="R31" s="6" t="str">
        <f>HYPERLINK(changeFileExtension(R$24,".csv"))</f>
        <v/>
      </c>
      <c r="S31" s="11"/>
      <c r="T31" s="6" t="str">
        <f>HYPERLINK(changeFileExtension(T$24,".csv"))</f>
        <v/>
      </c>
      <c r="U31" s="11"/>
      <c r="V31" s="6" t="str">
        <f>HYPERLINK(changeFileExtension(V$24,".csv"))</f>
        <v/>
      </c>
      <c r="W31" s="11"/>
      <c r="X31" s="6" t="str">
        <f>HYPERLINK(changeFileExtension(X$24,".csv"))</f>
        <v/>
      </c>
      <c r="Y31" s="11"/>
      <c r="Z31" s="6"/>
      <c r="AA31" s="11"/>
      <c r="AB31" s="6"/>
      <c r="AC31" s="11"/>
      <c r="AD31" s="6"/>
      <c r="AE31" s="11"/>
      <c r="AF31" s="6"/>
      <c r="AG31" s="11"/>
      <c r="AH31" s="6"/>
      <c r="AI31" s="11"/>
      <c r="AJ31" s="6"/>
      <c r="AK31" s="11"/>
      <c r="AL31" s="6"/>
      <c r="AM31" s="11"/>
      <c r="AN31" s="6"/>
      <c r="AO31" s="11"/>
      <c r="AP31" s="6"/>
      <c r="AQ31" s="11"/>
      <c r="AR31" s="6"/>
      <c r="AS31" s="11"/>
      <c r="AT31" s="6"/>
      <c r="AU31" s="11"/>
      <c r="AV31" s="6"/>
      <c r="AW31" s="11"/>
      <c r="AX31" s="6"/>
      <c r="AY31" s="11"/>
      <c r="AZ31" s="6"/>
      <c r="BA31" s="11"/>
      <c r="BB31" s="6"/>
      <c r="BC31" s="11"/>
      <c r="BD31" s="6"/>
      <c r="BE31" s="11"/>
      <c r="BF31" s="6"/>
      <c r="BG31" s="11"/>
      <c r="BH31" s="6"/>
      <c r="BI31" s="11"/>
    </row>
    <row r="32" spans="1:61" ht="18.75" x14ac:dyDescent="0.3">
      <c r="A32" s="13" t="s">
        <v>9</v>
      </c>
      <c r="B32" s="6" t="str">
        <f>HYPERLINK(changeFileExtension(B$24,".ps"))</f>
        <v>Case1\Case1.ps</v>
      </c>
      <c r="C32" s="11" t="s">
        <v>16</v>
      </c>
      <c r="D32" s="6" t="str">
        <f>HYPERLINK(changeFileExtension(D$24,".ps"))</f>
        <v>Case1\Case1.ps</v>
      </c>
      <c r="E32" s="11" t="s">
        <v>16</v>
      </c>
      <c r="F32" s="6" t="str">
        <f>HYPERLINK(changeFileExtension(F$24,".ps"))</f>
        <v>Case2\Case2.ps</v>
      </c>
      <c r="G32" s="11" t="s">
        <v>16</v>
      </c>
      <c r="H32" s="6" t="str">
        <f>HYPERLINK(changeFileExtension(H$24,".ps"))</f>
        <v>Case3\Case3.ps</v>
      </c>
      <c r="I32" s="11" t="s">
        <v>16</v>
      </c>
      <c r="J32" s="6" t="str">
        <f>HYPERLINK(changeFileExtension(J$24,".ps"))</f>
        <v/>
      </c>
      <c r="K32" s="11"/>
      <c r="L32" s="6" t="str">
        <f>HYPERLINK(changeFileExtension(L$24,".ps"))</f>
        <v/>
      </c>
      <c r="M32" s="11"/>
      <c r="N32" s="6" t="str">
        <f>HYPERLINK(changeFileExtension(N$24,".ps"))</f>
        <v/>
      </c>
      <c r="O32" s="11"/>
      <c r="P32" s="6" t="str">
        <f>HYPERLINK(changeFileExtension(P$24,".ps"))</f>
        <v/>
      </c>
      <c r="Q32" s="11"/>
      <c r="R32" s="6" t="str">
        <f>HYPERLINK(changeFileExtension(R$24,".ps"))</f>
        <v/>
      </c>
      <c r="S32" s="11"/>
      <c r="T32" s="6" t="str">
        <f>HYPERLINK(changeFileExtension(T$24,".ps"))</f>
        <v/>
      </c>
      <c r="U32" s="11"/>
      <c r="V32" s="6" t="str">
        <f>HYPERLINK(changeFileExtension(V$24,".ps"))</f>
        <v/>
      </c>
      <c r="W32" s="11"/>
      <c r="X32" s="6" t="str">
        <f>HYPERLINK(changeFileExtension(X$24,".ps"))</f>
        <v/>
      </c>
      <c r="Y32" s="11"/>
      <c r="Z32" s="6" t="str">
        <f>HYPERLINK(changeFileExtension(Z$24,".ps"))</f>
        <v/>
      </c>
      <c r="AA32" s="11"/>
      <c r="AB32" s="6" t="str">
        <f>HYPERLINK(changeFileExtension(AB$24,".ps"))</f>
        <v/>
      </c>
      <c r="AC32" s="11"/>
      <c r="AD32" s="6" t="str">
        <f>HYPERLINK(changeFileExtension(AD$24,".ps"))</f>
        <v/>
      </c>
      <c r="AE32" s="11"/>
      <c r="AF32" s="6" t="str">
        <f>HYPERLINK(changeFileExtension(AF$24,".ps"))</f>
        <v/>
      </c>
      <c r="AG32" s="11"/>
      <c r="AH32" s="6" t="str">
        <f>HYPERLINK(changeFileExtension(AH$24,".ps"))</f>
        <v/>
      </c>
      <c r="AI32" s="11"/>
      <c r="AJ32" s="6" t="str">
        <f>HYPERLINK(changeFileExtension(AJ$24,".ps"))</f>
        <v/>
      </c>
      <c r="AK32" s="11"/>
      <c r="AL32" s="6" t="str">
        <f>HYPERLINK(changeFileExtension(AL$24,".ps"))</f>
        <v/>
      </c>
      <c r="AM32" s="11"/>
      <c r="AN32" s="6" t="str">
        <f>HYPERLINK(changeFileExtension(AN$24,".ps"))</f>
        <v/>
      </c>
      <c r="AO32" s="11"/>
      <c r="AP32" s="6" t="str">
        <f>HYPERLINK(changeFileExtension(AP$24,".ps"))</f>
        <v/>
      </c>
      <c r="AQ32" s="11"/>
      <c r="AR32" s="6" t="str">
        <f>HYPERLINK(changeFileExtension(AR$24,".ps"))</f>
        <v/>
      </c>
      <c r="AS32" s="11"/>
      <c r="AT32" s="6" t="str">
        <f>HYPERLINK(changeFileExtension(AT$24,".ps"))</f>
        <v/>
      </c>
      <c r="AU32" s="11"/>
      <c r="AV32" s="6" t="str">
        <f>HYPERLINK(changeFileExtension(AV$24,".ps"))</f>
        <v/>
      </c>
      <c r="AW32" s="11"/>
      <c r="AX32" s="6" t="str">
        <f>HYPERLINK(changeFileExtension(AX$24,".ps"))</f>
        <v/>
      </c>
      <c r="AY32" s="11"/>
      <c r="AZ32" s="6" t="str">
        <f>HYPERLINK(changeFileExtension(AZ$24,".ps"))</f>
        <v/>
      </c>
      <c r="BA32" s="11"/>
      <c r="BB32" s="6" t="str">
        <f>HYPERLINK(changeFileExtension(BB$24,".ps"))</f>
        <v/>
      </c>
      <c r="BC32" s="11"/>
      <c r="BD32" s="6" t="str">
        <f>HYPERLINK(changeFileExtension(BD$24,".ps"))</f>
        <v/>
      </c>
      <c r="BE32" s="11"/>
      <c r="BF32" s="6" t="str">
        <f>HYPERLINK(changeFileExtension(BF$24,".ps"))</f>
        <v/>
      </c>
      <c r="BG32" s="11"/>
      <c r="BH32" s="6" t="str">
        <f>HYPERLINK(changeFileExtension(BH$24,".ps"))</f>
        <v/>
      </c>
      <c r="BI32" s="11"/>
    </row>
    <row r="33" spans="1:61" ht="18.75" x14ac:dyDescent="0.3">
      <c r="A33" s="14" t="s">
        <v>10</v>
      </c>
      <c r="B33" s="7" t="str">
        <f>HYPERLINK(changeFileExtension(B$24,".pdf"))</f>
        <v>Case1\Case1.pdf</v>
      </c>
      <c r="C33" s="15" t="s">
        <v>16</v>
      </c>
      <c r="D33" s="7" t="str">
        <f>HYPERLINK(changeFileExtension(D$24,".pdf"))</f>
        <v>Case1\Case1.pdf</v>
      </c>
      <c r="E33" s="15" t="s">
        <v>16</v>
      </c>
      <c r="F33" s="7" t="str">
        <f>HYPERLINK(changeFileExtension(F$24,".pdf"))</f>
        <v>Case2\Case2.pdf</v>
      </c>
      <c r="G33" s="15" t="s">
        <v>16</v>
      </c>
      <c r="H33" s="7" t="str">
        <f>HYPERLINK(changeFileExtension(H$24,".pdf"))</f>
        <v>Case3\Case3.pdf</v>
      </c>
      <c r="I33" s="15" t="s">
        <v>16</v>
      </c>
      <c r="J33" s="7" t="str">
        <f>HYPERLINK(changeFileExtension(J$24,".pdf"))</f>
        <v/>
      </c>
      <c r="K33" s="15"/>
      <c r="L33" s="7" t="str">
        <f>HYPERLINK(changeFileExtension(L$24,".pdf"))</f>
        <v/>
      </c>
      <c r="M33" s="15"/>
      <c r="N33" s="7" t="str">
        <f>HYPERLINK(changeFileExtension(N$24,".pdf"))</f>
        <v/>
      </c>
      <c r="O33" s="15"/>
      <c r="P33" s="7" t="str">
        <f>HYPERLINK(changeFileExtension(P$24,".pdf"))</f>
        <v/>
      </c>
      <c r="Q33" s="15"/>
      <c r="R33" s="7" t="str">
        <f>HYPERLINK(changeFileExtension(R$24,".pdf"))</f>
        <v/>
      </c>
      <c r="S33" s="15"/>
      <c r="T33" s="7" t="str">
        <f>HYPERLINK(changeFileExtension(T$24,".pdf"))</f>
        <v/>
      </c>
      <c r="U33" s="15"/>
      <c r="V33" s="7" t="str">
        <f>HYPERLINK(changeFileExtension(V$24,".pdf"))</f>
        <v/>
      </c>
      <c r="W33" s="15"/>
      <c r="X33" s="7" t="str">
        <f>HYPERLINK(changeFileExtension(X$24,".pdf"))</f>
        <v/>
      </c>
      <c r="Y33" s="15"/>
      <c r="Z33" s="7" t="str">
        <f>HYPERLINK(changeFileExtension(Z$24,".pdf"))</f>
        <v/>
      </c>
      <c r="AA33" s="15"/>
      <c r="AB33" s="7" t="str">
        <f>HYPERLINK(changeFileExtension(AB$24,".pdf"))</f>
        <v/>
      </c>
      <c r="AC33" s="15"/>
      <c r="AD33" s="7" t="str">
        <f>HYPERLINK(changeFileExtension(AD$24,".pdf"))</f>
        <v/>
      </c>
      <c r="AE33" s="15"/>
      <c r="AF33" s="7" t="str">
        <f>HYPERLINK(changeFileExtension(AF$24,".pdf"))</f>
        <v/>
      </c>
      <c r="AG33" s="15"/>
      <c r="AH33" s="7" t="str">
        <f>HYPERLINK(changeFileExtension(AH$24,".pdf"))</f>
        <v/>
      </c>
      <c r="AI33" s="15"/>
      <c r="AJ33" s="7" t="str">
        <f>HYPERLINK(changeFileExtension(AJ$24,".pdf"))</f>
        <v/>
      </c>
      <c r="AK33" s="15"/>
      <c r="AL33" s="7" t="str">
        <f>HYPERLINK(changeFileExtension(AL$24,".pdf"))</f>
        <v/>
      </c>
      <c r="AM33" s="15"/>
      <c r="AN33" s="7" t="str">
        <f>HYPERLINK(changeFileExtension(AN$24,".pdf"))</f>
        <v/>
      </c>
      <c r="AO33" s="15"/>
      <c r="AP33" s="7" t="str">
        <f>HYPERLINK(changeFileExtension(AP$24,".pdf"))</f>
        <v/>
      </c>
      <c r="AQ33" s="15"/>
      <c r="AR33" s="7" t="str">
        <f>HYPERLINK(changeFileExtension(AR$24,".pdf"))</f>
        <v/>
      </c>
      <c r="AS33" s="15"/>
      <c r="AT33" s="7" t="str">
        <f>HYPERLINK(changeFileExtension(AT$24,".pdf"))</f>
        <v/>
      </c>
      <c r="AU33" s="15"/>
      <c r="AV33" s="7" t="str">
        <f>HYPERLINK(changeFileExtension(AV$24,".pdf"))</f>
        <v/>
      </c>
      <c r="AW33" s="15"/>
      <c r="AX33" s="7" t="str">
        <f>HYPERLINK(changeFileExtension(AX$24,".pdf"))</f>
        <v/>
      </c>
      <c r="AY33" s="15"/>
      <c r="AZ33" s="7" t="str">
        <f>HYPERLINK(changeFileExtension(AZ$24,".pdf"))</f>
        <v/>
      </c>
      <c r="BA33" s="15"/>
      <c r="BB33" s="7" t="str">
        <f>HYPERLINK(changeFileExtension(BB$24,".pdf"))</f>
        <v/>
      </c>
      <c r="BC33" s="15"/>
      <c r="BD33" s="7" t="str">
        <f>HYPERLINK(changeFileExtension(BD$24,".pdf"))</f>
        <v/>
      </c>
      <c r="BE33" s="15"/>
      <c r="BF33" s="7" t="str">
        <f>HYPERLINK(changeFileExtension(BF$24,".pdf"))</f>
        <v/>
      </c>
      <c r="BG33" s="15"/>
      <c r="BH33" s="7" t="str">
        <f>HYPERLINK(changeFileExtension(BH$24,".pdf"))</f>
        <v/>
      </c>
      <c r="BI33" s="15"/>
    </row>
    <row r="36" spans="1:61" x14ac:dyDescent="0.25">
      <c r="B36" s="4"/>
      <c r="E36" s="30"/>
    </row>
    <row r="37" spans="1:61" x14ac:dyDescent="0.25">
      <c r="B37" s="1"/>
      <c r="C37" s="27"/>
    </row>
    <row r="38" spans="1:61" x14ac:dyDescent="0.25">
      <c r="B38" s="1"/>
    </row>
    <row r="39" spans="1:61" x14ac:dyDescent="0.25">
      <c r="B39" s="1"/>
    </row>
    <row r="40" spans="1:61" x14ac:dyDescent="0.25">
      <c r="B40" s="1"/>
      <c r="F40" s="2"/>
      <c r="G40" s="2"/>
      <c r="H40" s="2"/>
    </row>
    <row r="41" spans="1:61" x14ac:dyDescent="0.25">
      <c r="F41" s="2"/>
      <c r="G41" s="2"/>
      <c r="H41" s="2"/>
      <c r="K41" s="9"/>
    </row>
    <row r="42" spans="1:61" x14ac:dyDescent="0.25">
      <c r="B42" s="8"/>
      <c r="F42" s="2"/>
      <c r="G42" s="2"/>
      <c r="H42" s="2"/>
    </row>
    <row r="43" spans="1:61" x14ac:dyDescent="0.25">
      <c r="F43" s="2"/>
      <c r="G43" s="2"/>
      <c r="H43" s="2"/>
      <c r="K43" s="9"/>
    </row>
    <row r="44" spans="1:61" x14ac:dyDescent="0.25">
      <c r="F44" s="2"/>
      <c r="G44" s="2"/>
      <c r="H44" s="2"/>
    </row>
  </sheetData>
  <dataConsolidate/>
  <mergeCells count="317"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</mergeCells>
  <conditionalFormatting sqref="B42">
    <cfRule type="expression" dxfId="172" priority="808" stopIfTrue="1">
      <formula>OR((COLUMN()-1)/4=ROUNDDOWN((COLUMN()-1)/4,0),(COLUMN()+0)/4=ROUNDDOWN((COLUMN()+0)/4,0))</formula>
    </cfRule>
  </conditionalFormatting>
  <conditionalFormatting sqref="Y25">
    <cfRule type="expression" dxfId="171" priority="240">
      <formula>Y25&lt;Y24</formula>
    </cfRule>
  </conditionalFormatting>
  <conditionalFormatting sqref="Y26">
    <cfRule type="expression" dxfId="170" priority="239">
      <formula>Y26&lt;Y24</formula>
    </cfRule>
  </conditionalFormatting>
  <conditionalFormatting sqref="Y27">
    <cfRule type="expression" dxfId="169" priority="238">
      <formula>OR(Y27&lt;Y24,Y27&lt;Y26)</formula>
    </cfRule>
  </conditionalFormatting>
  <conditionalFormatting sqref="Y30:Y31">
    <cfRule type="expression" dxfId="168" priority="237">
      <formula>OR(Y30&lt;Y24,Y30&lt;Y26)</formula>
    </cfRule>
  </conditionalFormatting>
  <conditionalFormatting sqref="Y32">
    <cfRule type="expression" dxfId="167" priority="236">
      <formula>OR(Y32&lt;Y24,Y32&lt;Y26,Y32&lt;Y30)</formula>
    </cfRule>
  </conditionalFormatting>
  <conditionalFormatting sqref="Y33">
    <cfRule type="expression" dxfId="166" priority="235">
      <formula>OR(Y33&lt;Y24,Y33&lt;Y26,Y33&lt;Y30,Y33&lt;Y32)</formula>
    </cfRule>
  </conditionalFormatting>
  <conditionalFormatting sqref="Y25">
    <cfRule type="expression" dxfId="165" priority="166">
      <formula>Y25&lt;Y24</formula>
    </cfRule>
  </conditionalFormatting>
  <conditionalFormatting sqref="Y26">
    <cfRule type="expression" dxfId="164" priority="165">
      <formula>Y26&lt;Y24</formula>
    </cfRule>
  </conditionalFormatting>
  <conditionalFormatting sqref="Y27">
    <cfRule type="expression" dxfId="163" priority="164">
      <formula>OR(Y27&lt;Y24,Y27&lt;Y26)</formula>
    </cfRule>
  </conditionalFormatting>
  <conditionalFormatting sqref="Y30:Y31">
    <cfRule type="expression" dxfId="162" priority="163">
      <formula>OR(Y30&lt;Y24,Y30&lt;Y26)</formula>
    </cfRule>
  </conditionalFormatting>
  <conditionalFormatting sqref="Y32">
    <cfRule type="expression" dxfId="161" priority="162">
      <formula>OR(Y32&lt;Y24,Y32&lt;Y26,Y32&lt;Y30)</formula>
    </cfRule>
  </conditionalFormatting>
  <conditionalFormatting sqref="Y33">
    <cfRule type="expression" dxfId="160" priority="161">
      <formula>OR(Y33&lt;Y24,Y33&lt;Y26,Y33&lt;Y30,Y33&lt;Y32)</formula>
    </cfRule>
  </conditionalFormatting>
  <conditionalFormatting sqref="Y25">
    <cfRule type="expression" dxfId="91" priority="92">
      <formula>Y25&lt;Y24</formula>
    </cfRule>
  </conditionalFormatting>
  <conditionalFormatting sqref="Y26">
    <cfRule type="expression" dxfId="90" priority="91">
      <formula>Y26&lt;Y24</formula>
    </cfRule>
  </conditionalFormatting>
  <conditionalFormatting sqref="Y27">
    <cfRule type="expression" dxfId="89" priority="90">
      <formula>OR(Y27&lt;Y24,Y27&lt;Y26)</formula>
    </cfRule>
  </conditionalFormatting>
  <conditionalFormatting sqref="Y30:Y31">
    <cfRule type="expression" dxfId="88" priority="89">
      <formula>OR(Y30&lt;Y24,Y30&lt;Y26)</formula>
    </cfRule>
  </conditionalFormatting>
  <conditionalFormatting sqref="Y32">
    <cfRule type="expression" dxfId="87" priority="88">
      <formula>OR(Y32&lt;Y24,Y32&lt;Y26,Y32&lt;Y30)</formula>
    </cfRule>
  </conditionalFormatting>
  <conditionalFormatting sqref="Y33">
    <cfRule type="expression" dxfId="86" priority="87">
      <formula>OR(Y33&lt;Y24,Y33&lt;Y26,Y33&lt;Y30,Y33&lt;Y32)</formula>
    </cfRule>
  </conditionalFormatting>
  <conditionalFormatting sqref="B23:X33">
    <cfRule type="expression" dxfId="85" priority="86">
      <formula>(ROW()+1)/2=ROUNDDOWN((ROW()+1)/2,0)</formula>
    </cfRule>
    <cfRule type="expression" dxfId="84" priority="85">
      <formula>ROW()/2=ROUNDDOWN(ROW()/2,0)</formula>
    </cfRule>
  </conditionalFormatting>
  <conditionalFormatting sqref="C25">
    <cfRule type="expression" dxfId="83" priority="84">
      <formula>C25&lt;C24</formula>
    </cfRule>
  </conditionalFormatting>
  <conditionalFormatting sqref="C26">
    <cfRule type="expression" dxfId="82" priority="83">
      <formula>C26&lt;C24</formula>
    </cfRule>
  </conditionalFormatting>
  <conditionalFormatting sqref="C27">
    <cfRule type="expression" dxfId="81" priority="82">
      <formula>OR(C27&lt;C24,C27&lt;C26)</formula>
    </cfRule>
  </conditionalFormatting>
  <conditionalFormatting sqref="C30">
    <cfRule type="expression" dxfId="80" priority="81">
      <formula>OR(C30&lt;C24,C30&lt;C26)</formula>
    </cfRule>
  </conditionalFormatting>
  <conditionalFormatting sqref="C31">
    <cfRule type="expression" dxfId="79" priority="80">
      <formula>OR(C31&lt;C24,C31&lt;C26,C31&lt;C30)</formula>
    </cfRule>
  </conditionalFormatting>
  <conditionalFormatting sqref="C32">
    <cfRule type="expression" dxfId="78" priority="79">
      <formula>OR(C32&lt;C24,C32&lt;C26,C32&lt;C30)</formula>
    </cfRule>
  </conditionalFormatting>
  <conditionalFormatting sqref="C33">
    <cfRule type="expression" dxfId="77" priority="78">
      <formula>OR(C33&lt;C24,C33&lt;C26,C33&lt;C30,C33&lt;C32)</formula>
    </cfRule>
  </conditionalFormatting>
  <conditionalFormatting sqref="E25">
    <cfRule type="expression" dxfId="76" priority="77">
      <formula>E25&lt;E24</formula>
    </cfRule>
  </conditionalFormatting>
  <conditionalFormatting sqref="E26">
    <cfRule type="expression" dxfId="75" priority="76">
      <formula>E26&lt;E24</formula>
    </cfRule>
  </conditionalFormatting>
  <conditionalFormatting sqref="E27">
    <cfRule type="expression" dxfId="74" priority="75">
      <formula>OR(E27&lt;E24,E27&lt;E26)</formula>
    </cfRule>
  </conditionalFormatting>
  <conditionalFormatting sqref="E30">
    <cfRule type="expression" dxfId="73" priority="74">
      <formula>OR(E30&lt;E24,E30&lt;E26)</formula>
    </cfRule>
  </conditionalFormatting>
  <conditionalFormatting sqref="E31">
    <cfRule type="expression" dxfId="72" priority="73">
      <formula>OR(E31&lt;E24,E31&lt;E26,E31&lt;E30)</formula>
    </cfRule>
  </conditionalFormatting>
  <conditionalFormatting sqref="E32">
    <cfRule type="expression" dxfId="71" priority="72">
      <formula>OR(E32&lt;E24,E32&lt;E26,E32&lt;E30)</formula>
    </cfRule>
  </conditionalFormatting>
  <conditionalFormatting sqref="E33">
    <cfRule type="expression" dxfId="70" priority="71">
      <formula>OR(E33&lt;E24,E33&lt;E26,E33&lt;E30,E33&lt;E32)</formula>
    </cfRule>
  </conditionalFormatting>
  <conditionalFormatting sqref="G25">
    <cfRule type="expression" dxfId="69" priority="70">
      <formula>G25&lt;G24</formula>
    </cfRule>
  </conditionalFormatting>
  <conditionalFormatting sqref="G26">
    <cfRule type="expression" dxfId="68" priority="69">
      <formula>G26&lt;G24</formula>
    </cfRule>
  </conditionalFormatting>
  <conditionalFormatting sqref="G27">
    <cfRule type="expression" dxfId="67" priority="68">
      <formula>OR(G27&lt;G24,G27&lt;G26)</formula>
    </cfRule>
  </conditionalFormatting>
  <conditionalFormatting sqref="G30">
    <cfRule type="expression" dxfId="66" priority="67">
      <formula>OR(G30&lt;G24,G30&lt;G26)</formula>
    </cfRule>
  </conditionalFormatting>
  <conditionalFormatting sqref="G31">
    <cfRule type="expression" dxfId="65" priority="66">
      <formula>OR(G31&lt;G24,G31&lt;G26,G31&lt;G30)</formula>
    </cfRule>
  </conditionalFormatting>
  <conditionalFormatting sqref="G32">
    <cfRule type="expression" dxfId="64" priority="65">
      <formula>OR(G32&lt;G24,G32&lt;G26,G32&lt;G30)</formula>
    </cfRule>
  </conditionalFormatting>
  <conditionalFormatting sqref="G33">
    <cfRule type="expression" dxfId="63" priority="64">
      <formula>OR(G33&lt;G24,G33&lt;G26,G33&lt;G30,G33&lt;G32)</formula>
    </cfRule>
  </conditionalFormatting>
  <conditionalFormatting sqref="I25">
    <cfRule type="expression" dxfId="62" priority="63">
      <formula>I25&lt;I24</formula>
    </cfRule>
  </conditionalFormatting>
  <conditionalFormatting sqref="I26">
    <cfRule type="expression" dxfId="61" priority="62">
      <formula>I26&lt;I24</formula>
    </cfRule>
  </conditionalFormatting>
  <conditionalFormatting sqref="I27">
    <cfRule type="expression" dxfId="60" priority="61">
      <formula>OR(I27&lt;I24,I27&lt;I26)</formula>
    </cfRule>
  </conditionalFormatting>
  <conditionalFormatting sqref="I30">
    <cfRule type="expression" dxfId="59" priority="60">
      <formula>OR(I30&lt;I24,I30&lt;I26)</formula>
    </cfRule>
  </conditionalFormatting>
  <conditionalFormatting sqref="I31">
    <cfRule type="expression" dxfId="58" priority="59">
      <formula>OR(I31&lt;I24,I31&lt;I26,I31&lt;I30)</formula>
    </cfRule>
  </conditionalFormatting>
  <conditionalFormatting sqref="I32">
    <cfRule type="expression" dxfId="57" priority="58">
      <formula>OR(I32&lt;I24,I32&lt;I26,I32&lt;I30)</formula>
    </cfRule>
  </conditionalFormatting>
  <conditionalFormatting sqref="I33">
    <cfRule type="expression" dxfId="56" priority="57">
      <formula>OR(I33&lt;I24,I33&lt;I26,I33&lt;I30,I33&lt;I32)</formula>
    </cfRule>
  </conditionalFormatting>
  <conditionalFormatting sqref="K25">
    <cfRule type="expression" dxfId="55" priority="56">
      <formula>K25&lt;K24</formula>
    </cfRule>
  </conditionalFormatting>
  <conditionalFormatting sqref="K26">
    <cfRule type="expression" dxfId="54" priority="55">
      <formula>K26&lt;K24</formula>
    </cfRule>
  </conditionalFormatting>
  <conditionalFormatting sqref="K27">
    <cfRule type="expression" dxfId="53" priority="54">
      <formula>OR(K27&lt;K24,K27&lt;K26)</formula>
    </cfRule>
  </conditionalFormatting>
  <conditionalFormatting sqref="K30">
    <cfRule type="expression" dxfId="52" priority="53">
      <formula>OR(K30&lt;K24,K30&lt;K26)</formula>
    </cfRule>
  </conditionalFormatting>
  <conditionalFormatting sqref="K31">
    <cfRule type="expression" dxfId="51" priority="52">
      <formula>OR(K31&lt;K24,K31&lt;K26,K31&lt;K30)</formula>
    </cfRule>
  </conditionalFormatting>
  <conditionalFormatting sqref="K32">
    <cfRule type="expression" dxfId="50" priority="51">
      <formula>OR(K32&lt;K24,K32&lt;K26,K32&lt;K30)</formula>
    </cfRule>
  </conditionalFormatting>
  <conditionalFormatting sqref="K33">
    <cfRule type="expression" dxfId="49" priority="50">
      <formula>OR(K33&lt;K24,K33&lt;K26,K33&lt;K30,K33&lt;K32)</formula>
    </cfRule>
  </conditionalFormatting>
  <conditionalFormatting sqref="M25">
    <cfRule type="expression" dxfId="48" priority="49">
      <formula>M25&lt;M24</formula>
    </cfRule>
  </conditionalFormatting>
  <conditionalFormatting sqref="M26">
    <cfRule type="expression" dxfId="47" priority="48">
      <formula>M26&lt;M24</formula>
    </cfRule>
  </conditionalFormatting>
  <conditionalFormatting sqref="M27">
    <cfRule type="expression" dxfId="46" priority="47">
      <formula>OR(M27&lt;M24,M27&lt;M26)</formula>
    </cfRule>
  </conditionalFormatting>
  <conditionalFormatting sqref="M30">
    <cfRule type="expression" dxfId="45" priority="46">
      <formula>OR(M30&lt;M24,M30&lt;M26)</formula>
    </cfRule>
  </conditionalFormatting>
  <conditionalFormatting sqref="M31">
    <cfRule type="expression" dxfId="44" priority="45">
      <formula>OR(M31&lt;M24,M31&lt;M26,M31&lt;M30)</formula>
    </cfRule>
  </conditionalFormatting>
  <conditionalFormatting sqref="M32">
    <cfRule type="expression" dxfId="43" priority="44">
      <formula>OR(M32&lt;M24,M32&lt;M26,M32&lt;M30)</formula>
    </cfRule>
  </conditionalFormatting>
  <conditionalFormatting sqref="M33">
    <cfRule type="expression" dxfId="42" priority="43">
      <formula>OR(M33&lt;M24,M33&lt;M26,M33&lt;M30,M33&lt;M32)</formula>
    </cfRule>
  </conditionalFormatting>
  <conditionalFormatting sqref="O25">
    <cfRule type="expression" dxfId="41" priority="42">
      <formula>O25&lt;O24</formula>
    </cfRule>
  </conditionalFormatting>
  <conditionalFormatting sqref="O26">
    <cfRule type="expression" dxfId="40" priority="41">
      <formula>O26&lt;O24</formula>
    </cfRule>
  </conditionalFormatting>
  <conditionalFormatting sqref="O27">
    <cfRule type="expression" dxfId="39" priority="40">
      <formula>OR(O27&lt;O24,O27&lt;O26)</formula>
    </cfRule>
  </conditionalFormatting>
  <conditionalFormatting sqref="O30">
    <cfRule type="expression" dxfId="38" priority="39">
      <formula>OR(O30&lt;O24,O30&lt;O26)</formula>
    </cfRule>
  </conditionalFormatting>
  <conditionalFormatting sqref="O31">
    <cfRule type="expression" dxfId="37" priority="38">
      <formula>OR(O31&lt;O24,O31&lt;O26,O31&lt;O30)</formula>
    </cfRule>
  </conditionalFormatting>
  <conditionalFormatting sqref="O32">
    <cfRule type="expression" dxfId="36" priority="37">
      <formula>OR(O32&lt;O24,O32&lt;O26,O32&lt;O30)</formula>
    </cfRule>
  </conditionalFormatting>
  <conditionalFormatting sqref="O33">
    <cfRule type="expression" dxfId="35" priority="36">
      <formula>OR(O33&lt;O24,O33&lt;O26,O33&lt;O30,O33&lt;O32)</formula>
    </cfRule>
  </conditionalFormatting>
  <conditionalFormatting sqref="Q25">
    <cfRule type="expression" dxfId="34" priority="35">
      <formula>Q25&lt;Q24</formula>
    </cfRule>
  </conditionalFormatting>
  <conditionalFormatting sqref="Q26">
    <cfRule type="expression" dxfId="33" priority="34">
      <formula>Q26&lt;Q24</formula>
    </cfRule>
  </conditionalFormatting>
  <conditionalFormatting sqref="Q27">
    <cfRule type="expression" dxfId="32" priority="33">
      <formula>OR(Q27&lt;Q24,Q27&lt;Q26)</formula>
    </cfRule>
  </conditionalFormatting>
  <conditionalFormatting sqref="Q30">
    <cfRule type="expression" dxfId="31" priority="32">
      <formula>OR(Q30&lt;Q24,Q30&lt;Q26)</formula>
    </cfRule>
  </conditionalFormatting>
  <conditionalFormatting sqref="Q31">
    <cfRule type="expression" dxfId="30" priority="31">
      <formula>OR(Q31&lt;Q24,Q31&lt;Q26,Q31&lt;Q30)</formula>
    </cfRule>
  </conditionalFormatting>
  <conditionalFormatting sqref="Q32">
    <cfRule type="expression" dxfId="29" priority="30">
      <formula>OR(Q32&lt;Q24,Q32&lt;Q26,Q32&lt;Q30)</formula>
    </cfRule>
  </conditionalFormatting>
  <conditionalFormatting sqref="Q33">
    <cfRule type="expression" dxfId="28" priority="29">
      <formula>OR(Q33&lt;Q24,Q33&lt;Q26,Q33&lt;Q30,Q33&lt;Q32)</formula>
    </cfRule>
  </conditionalFormatting>
  <conditionalFormatting sqref="S25">
    <cfRule type="expression" dxfId="27" priority="28">
      <formula>S25&lt;S24</formula>
    </cfRule>
  </conditionalFormatting>
  <conditionalFormatting sqref="S26">
    <cfRule type="expression" dxfId="26" priority="27">
      <formula>S26&lt;S24</formula>
    </cfRule>
  </conditionalFormatting>
  <conditionalFormatting sqref="S27">
    <cfRule type="expression" dxfId="25" priority="26">
      <formula>OR(S27&lt;S24,S27&lt;S26)</formula>
    </cfRule>
  </conditionalFormatting>
  <conditionalFormatting sqref="S30">
    <cfRule type="expression" dxfId="24" priority="25">
      <formula>OR(S30&lt;S24,S30&lt;S26)</formula>
    </cfRule>
  </conditionalFormatting>
  <conditionalFormatting sqref="S31">
    <cfRule type="expression" dxfId="23" priority="24">
      <formula>OR(S31&lt;S24,S31&lt;S26,S31&lt;S30)</formula>
    </cfRule>
  </conditionalFormatting>
  <conditionalFormatting sqref="S32">
    <cfRule type="expression" dxfId="22" priority="23">
      <formula>OR(S32&lt;S24,S32&lt;S26,S32&lt;S30)</formula>
    </cfRule>
  </conditionalFormatting>
  <conditionalFormatting sqref="S33">
    <cfRule type="expression" dxfId="21" priority="22">
      <formula>OR(S33&lt;S24,S33&lt;S26,S33&lt;S30,S33&lt;S32)</formula>
    </cfRule>
  </conditionalFormatting>
  <conditionalFormatting sqref="U25">
    <cfRule type="expression" dxfId="20" priority="21">
      <formula>U25&lt;U24</formula>
    </cfRule>
  </conditionalFormatting>
  <conditionalFormatting sqref="U26">
    <cfRule type="expression" dxfId="19" priority="20">
      <formula>U26&lt;U24</formula>
    </cfRule>
  </conditionalFormatting>
  <conditionalFormatting sqref="U27">
    <cfRule type="expression" dxfId="18" priority="19">
      <formula>OR(U27&lt;U24,U27&lt;U26)</formula>
    </cfRule>
  </conditionalFormatting>
  <conditionalFormatting sqref="U30">
    <cfRule type="expression" dxfId="17" priority="18">
      <formula>OR(U30&lt;U24,U30&lt;U26)</formula>
    </cfRule>
  </conditionalFormatting>
  <conditionalFormatting sqref="U31">
    <cfRule type="expression" dxfId="16" priority="17">
      <formula>OR(U31&lt;U24,U31&lt;U26,U31&lt;U30)</formula>
    </cfRule>
  </conditionalFormatting>
  <conditionalFormatting sqref="U32">
    <cfRule type="expression" dxfId="15" priority="16">
      <formula>OR(U32&lt;U24,U32&lt;U26,U32&lt;U30)</formula>
    </cfRule>
  </conditionalFormatting>
  <conditionalFormatting sqref="U33">
    <cfRule type="expression" dxfId="14" priority="15">
      <formula>OR(U33&lt;U24,U33&lt;U26,U33&lt;U30,U33&lt;U32)</formula>
    </cfRule>
  </conditionalFormatting>
  <conditionalFormatting sqref="W25">
    <cfRule type="expression" dxfId="13" priority="14">
      <formula>W25&lt;W24</formula>
    </cfRule>
  </conditionalFormatting>
  <conditionalFormatting sqref="W26">
    <cfRule type="expression" dxfId="12" priority="13">
      <formula>W26&lt;W24</formula>
    </cfRule>
  </conditionalFormatting>
  <conditionalFormatting sqref="W27">
    <cfRule type="expression" dxfId="11" priority="12">
      <formula>OR(W27&lt;W24,W27&lt;W26)</formula>
    </cfRule>
  </conditionalFormatting>
  <conditionalFormatting sqref="W30">
    <cfRule type="expression" dxfId="10" priority="11">
      <formula>OR(W30&lt;W24,W30&lt;W26)</formula>
    </cfRule>
  </conditionalFormatting>
  <conditionalFormatting sqref="W31">
    <cfRule type="expression" dxfId="9" priority="10">
      <formula>OR(W31&lt;W24,W31&lt;W26,W31&lt;W30)</formula>
    </cfRule>
  </conditionalFormatting>
  <conditionalFormatting sqref="W32">
    <cfRule type="expression" dxfId="8" priority="9">
      <formula>OR(W32&lt;W24,W32&lt;W26,W32&lt;W30)</formula>
    </cfRule>
  </conditionalFormatting>
  <conditionalFormatting sqref="W33">
    <cfRule type="expression" dxfId="7" priority="8">
      <formula>OR(W33&lt;W24,W33&lt;W26,W33&lt;W30,W33&lt;W32)</formula>
    </cfRule>
  </conditionalFormatting>
  <conditionalFormatting sqref="Y25">
    <cfRule type="expression" dxfId="6" priority="7">
      <formula>Y25&lt;Y24</formula>
    </cfRule>
  </conditionalFormatting>
  <conditionalFormatting sqref="Y26">
    <cfRule type="expression" dxfId="5" priority="6">
      <formula>Y26&lt;Y24</formula>
    </cfRule>
  </conditionalFormatting>
  <conditionalFormatting sqref="Y27">
    <cfRule type="expression" dxfId="4" priority="5">
      <formula>OR(Y27&lt;Y24,Y27&lt;Y26)</formula>
    </cfRule>
  </conditionalFormatting>
  <conditionalFormatting sqref="Y30">
    <cfRule type="expression" dxfId="3" priority="4">
      <formula>OR(Y30&lt;Y24,Y30&lt;Y26)</formula>
    </cfRule>
  </conditionalFormatting>
  <conditionalFormatting sqref="Y31">
    <cfRule type="expression" dxfId="2" priority="3">
      <formula>OR(Y31&lt;Y24,Y31&lt;Y26,Y31&lt;Y30)</formula>
    </cfRule>
  </conditionalFormatting>
  <conditionalFormatting sqref="Y32">
    <cfRule type="expression" dxfId="1" priority="2">
      <formula>OR(Y32&lt;Y24,Y32&lt;Y26,Y32&lt;Y30)</formula>
    </cfRule>
  </conditionalFormatting>
  <conditionalFormatting sqref="Y33">
    <cfRule type="expression" dxfId="0" priority="1">
      <formula>OR(Y33&lt;Y24,Y33&lt;Y26,Y33&lt;Y30,Y33&lt;Y32)</formula>
    </cfRule>
  </conditionalFormatting>
  <dataValidations count="1">
    <dataValidation type="list" allowBlank="1" showInputMessage="1" showErrorMessage="1" sqref="B7" xr:uid="{00000000-0002-0000-0000-000000000000}">
      <formula1>"1,0"</formula1>
    </dataValidation>
  </dataValidations>
  <hyperlinks>
    <hyperlink ref="BH12" location="Blad1!$D$7" display="Blad1!$D$7" xr:uid="{00000000-0004-0000-0000-000000000000}"/>
    <hyperlink ref="BH16" location="Blad1!$D$8" display="Blad1!$D$8" xr:uid="{00000000-0004-0000-0000-000001000000}"/>
    <hyperlink ref="BH17" location="Blad1!$D$9" display="Blad1!$D$9" xr:uid="{00000000-0004-0000-0000-000002000000}"/>
    <hyperlink ref="BH13" location="Blad1!$D$8" display="Blad1!$D$8" xr:uid="{00000000-0004-0000-0000-000003000000}"/>
    <hyperlink ref="BH14" location="Blad1!$D$8" display="Blad1!$D$8" xr:uid="{00000000-0004-0000-0000-000004000000}"/>
    <hyperlink ref="BH15" location="Blad1!$D$8" display="Blad1!$D$8" xr:uid="{00000000-0004-0000-0000-000005000000}"/>
    <hyperlink ref="BH12:BI12" location="'R5Post main'!B12" display="'R5Post main'!B12" xr:uid="{00000000-0004-0000-0000-000006000000}"/>
    <hyperlink ref="BH17:BI17" location="'R5Post main'!B17" display="'R5Post main'!B17" xr:uid="{00000000-0004-0000-0000-000007000000}"/>
    <hyperlink ref="BH16:BI16" location="'R5Post main'!B16" display="'R5Post main'!B16" xr:uid="{00000000-0004-0000-0000-000008000000}"/>
    <hyperlink ref="BH15:BI15" location="'R5Post main'!B15" display="'R5Post main'!B15" xr:uid="{00000000-0004-0000-0000-000009000000}"/>
    <hyperlink ref="BH14:BI14" location="'R5Post main'!B14" display="'R5Post main'!B14" xr:uid="{00000000-0004-0000-0000-00000A000000}"/>
    <hyperlink ref="BH13:BI13" location="'R5Post main'!B13" display="'R5Post main'!B13" xr:uid="{00000000-0004-0000-0000-00000B000000}"/>
    <hyperlink ref="B10" r:id="rId1" display="Stripfile.strip.txt" xr:uid="{00000000-0004-0000-0000-00000C000000}"/>
    <hyperlink ref="B9" r:id="rId2" xr:uid="{00000000-0004-0000-0000-00000D000000}"/>
    <hyperlink ref="K12" location="'R5Post main'!$K$12" display="'R5Post main'!$K$12" xr:uid="{00000000-0004-0000-0000-00000E000000}"/>
    <hyperlink ref="M12" location="'R5Post main'!$M$12" display="'R5Post main'!$M$12" xr:uid="{00000000-0004-0000-0000-00000F000000}"/>
    <hyperlink ref="O12" location="'R5Post main'!$O$12" display="'R5Post main'!$O$12" xr:uid="{00000000-0004-0000-0000-000010000000}"/>
    <hyperlink ref="K14" location="'R5Post main'!$K$14" display="'R5Post main'!$K$14" xr:uid="{00000000-0004-0000-0000-000011000000}"/>
    <hyperlink ref="M14" location="'R5Post main'!$M$14" display="'R5Post main'!$M$14" xr:uid="{00000000-0004-0000-0000-000012000000}"/>
    <hyperlink ref="O14" location="'R5Post main'!$O$14" display="'R5Post main'!$O$14" xr:uid="{00000000-0004-0000-0000-000013000000}"/>
    <hyperlink ref="B12" location="'R5Post main'!$B$12" display="'R5Post main'!$B$12" xr:uid="{00000000-0004-0000-0000-000014000000}"/>
    <hyperlink ref="B13" location="'R5Post main'!$B$13" display="'R5Post main'!$B$13" xr:uid="{00000000-0004-0000-0000-000015000000}"/>
    <hyperlink ref="B14" location="'R5Post main'!$B$14" display="'R5Post main'!$B$14" xr:uid="{00000000-0004-0000-0000-000016000000}"/>
    <hyperlink ref="B15" location="'R5Post main'!$B$15" display="'R5Post main'!$B$15" xr:uid="{00000000-0004-0000-0000-000017000000}"/>
    <hyperlink ref="B16" location="'R5Post main'!$B$16" display="'R5Post main'!$B$16" xr:uid="{00000000-0004-0000-0000-000018000000}"/>
    <hyperlink ref="B17" location="'R5Post main'!$B$17" display="'R5Post main'!$B$17" xr:uid="{00000000-0004-0000-0000-000019000000}"/>
    <hyperlink ref="D12" location="'R5Post main'!$D$12" display="'R5Post main'!$D$12" xr:uid="{00000000-0004-0000-0000-00001A000000}"/>
    <hyperlink ref="D13" location="'R5Post main'!$D$13" display="'R5Post main'!$D$13" xr:uid="{00000000-0004-0000-0000-00001B000000}"/>
    <hyperlink ref="D14" location="'R5Post main'!$D$14" display="'R5Post main'!$D$14" xr:uid="{00000000-0004-0000-0000-00001C000000}"/>
    <hyperlink ref="D15" location="'R5Post main'!$D$15" display="'R5Post main'!$D$15" xr:uid="{00000000-0004-0000-0000-00001D000000}"/>
    <hyperlink ref="D16" location="'R5Post main'!$D$16" display="'R5Post main'!$D$16" xr:uid="{00000000-0004-0000-0000-00001E000000}"/>
    <hyperlink ref="D17" location="'R5Post main'!$D$17" display="'R5Post main'!$D$17" xr:uid="{00000000-0004-0000-0000-00001F000000}"/>
    <hyperlink ref="F12" location="'R5Post main'!$F$12" display="'R5Post main'!$F$12" xr:uid="{00000000-0004-0000-0000-000020000000}"/>
    <hyperlink ref="F13" location="'R5Post main'!$F$13" display="'R5Post main'!$F$13" xr:uid="{00000000-0004-0000-0000-000021000000}"/>
    <hyperlink ref="F14" location="'R5Post main'!$F$14" display="'R5Post main'!$F$14" xr:uid="{00000000-0004-0000-0000-000022000000}"/>
    <hyperlink ref="F15" location="'R5Post main'!$F$15" display="'R5Post main'!$F$15" xr:uid="{00000000-0004-0000-0000-000023000000}"/>
    <hyperlink ref="F16" location="'R5Post main'!$F$16" display="'R5Post main'!$F$16" xr:uid="{00000000-0004-0000-0000-000024000000}"/>
    <hyperlink ref="F17" location="'R5Post main'!$F$17" display="'R5Post main'!$F$17" xr:uid="{00000000-0004-0000-0000-000025000000}"/>
    <hyperlink ref="H12" location="'R5Post main'!$H$12" display="'R5Post main'!$H$12" xr:uid="{00000000-0004-0000-0000-000026000000}"/>
    <hyperlink ref="H13" location="'R5Post main'!$H$13" display="'R5Post main'!$H$13" xr:uid="{00000000-0004-0000-0000-000027000000}"/>
    <hyperlink ref="H14" location="'R5Post main'!$H$14" display="'R5Post main'!$H$14" xr:uid="{00000000-0004-0000-0000-000028000000}"/>
    <hyperlink ref="H15" location="'R5Post main'!$H$15" display="'R5Post main'!$H$15" xr:uid="{00000000-0004-0000-0000-000029000000}"/>
    <hyperlink ref="H16" location="'R5Post main'!$H$16" display="'R5Post main'!$H$16" xr:uid="{00000000-0004-0000-0000-00002A000000}"/>
    <hyperlink ref="H17" location="'R5Post main'!$H$17" display="'R5Post main'!$H$17" xr:uid="{00000000-0004-0000-0000-00002B000000}"/>
    <hyperlink ref="J12" location="'R5Post main'!$J$12" display="'R5Post main'!$J$12" xr:uid="{00000000-0004-0000-0000-00002C000000}"/>
    <hyperlink ref="J13" location="'R5Post main'!$J$13" display="'R5Post main'!$J$13" xr:uid="{00000000-0004-0000-0000-00002D000000}"/>
    <hyperlink ref="J14" location="'R5Post main'!$J$14" display="'R5Post main'!$J$14" xr:uid="{00000000-0004-0000-0000-00002E000000}"/>
    <hyperlink ref="J15" location="'R5Post main'!$J$15" display="'R5Post main'!$J$15" xr:uid="{00000000-0004-0000-0000-00002F000000}"/>
    <hyperlink ref="J16" location="'R5Post main'!$J$16" display="'R5Post main'!$J$16" xr:uid="{00000000-0004-0000-0000-000030000000}"/>
    <hyperlink ref="J17" location="'R5Post main'!$J$17" display="'R5Post main'!$J$17" xr:uid="{00000000-0004-0000-0000-000031000000}"/>
    <hyperlink ref="L12" location="'R5Post main'!$L$12" display="'R5Post main'!$L$12" xr:uid="{00000000-0004-0000-0000-000032000000}"/>
    <hyperlink ref="L13" location="'R5Post main'!$L$13" display="'R5Post main'!$L$13" xr:uid="{00000000-0004-0000-0000-000033000000}"/>
    <hyperlink ref="L14" location="'R5Post main'!$L$14" display="'R5Post main'!$L$14" xr:uid="{00000000-0004-0000-0000-000034000000}"/>
    <hyperlink ref="L15" location="'R5Post main'!$L$15" display="'R5Post main'!$L$15" xr:uid="{00000000-0004-0000-0000-000035000000}"/>
    <hyperlink ref="L16" location="'R5Post main'!$L$16" display="'R5Post main'!$L$16" xr:uid="{00000000-0004-0000-0000-000036000000}"/>
    <hyperlink ref="L17" location="'R5Post main'!$L$17" display="'R5Post main'!$L$17" xr:uid="{00000000-0004-0000-0000-000037000000}"/>
    <hyperlink ref="N12" location="'R5Post main'!$N$12" display="'R5Post main'!$N$12" xr:uid="{00000000-0004-0000-0000-000038000000}"/>
    <hyperlink ref="N13" location="'R5Post main'!$N$13" display="'R5Post main'!$N$13" xr:uid="{00000000-0004-0000-0000-000039000000}"/>
    <hyperlink ref="N14" location="'R5Post main'!$N$14" display="'R5Post main'!$N$14" xr:uid="{00000000-0004-0000-0000-00003A000000}"/>
    <hyperlink ref="N15" location="'R5Post main'!$N$15" display="'R5Post main'!$N$15" xr:uid="{00000000-0004-0000-0000-00003B000000}"/>
    <hyperlink ref="N16" location="'R5Post main'!$N$16" display="'R5Post main'!$N$16" xr:uid="{00000000-0004-0000-0000-00003C000000}"/>
    <hyperlink ref="N17" location="'R5Post main'!$N$17" display="'R5Post main'!$N$17" xr:uid="{00000000-0004-0000-0000-00003D000000}"/>
    <hyperlink ref="P12" location="'R5Post main'!$P$12" display="'R5Post main'!$P$12" xr:uid="{00000000-0004-0000-0000-00003E000000}"/>
    <hyperlink ref="P13" location="'R5Post main'!$P$13" display="'R5Post main'!$P$13" xr:uid="{00000000-0004-0000-0000-00003F000000}"/>
    <hyperlink ref="P14" location="'R5Post main'!$P$14" display="'R5Post main'!$P$14" xr:uid="{00000000-0004-0000-0000-000040000000}"/>
    <hyperlink ref="P15" location="'R5Post main'!$P$15" display="'R5Post main'!$P$15" xr:uid="{00000000-0004-0000-0000-000041000000}"/>
    <hyperlink ref="P16" location="'R5Post main'!$P$16" display="'R5Post main'!$P$16" xr:uid="{00000000-0004-0000-0000-000042000000}"/>
    <hyperlink ref="P17" location="'R5Post main'!$P$17" display="'R5Post main'!$P$17" xr:uid="{00000000-0004-0000-0000-000043000000}"/>
    <hyperlink ref="R12" location="'R5Post main'!$R$12" display="'R5Post main'!$R$12" xr:uid="{00000000-0004-0000-0000-000044000000}"/>
    <hyperlink ref="R13" location="'R5Post main'!$R$13" display="'R5Post main'!$R$13" xr:uid="{00000000-0004-0000-0000-000045000000}"/>
    <hyperlink ref="R14" location="'R5Post main'!$R$14" display="'R5Post main'!$R$14" xr:uid="{00000000-0004-0000-0000-000046000000}"/>
    <hyperlink ref="R15" location="'R5Post main'!$R$15" display="'R5Post main'!$R$15" xr:uid="{00000000-0004-0000-0000-000047000000}"/>
    <hyperlink ref="R16" location="'R5Post main'!$R$16" display="'R5Post main'!$R$16" xr:uid="{00000000-0004-0000-0000-000048000000}"/>
    <hyperlink ref="R17" location="'R5Post main'!$R$17" display="'R5Post main'!$R$17" xr:uid="{00000000-0004-0000-0000-000049000000}"/>
    <hyperlink ref="T12" location="'R5Post main'!$T$12" display="'R5Post main'!$T$12" xr:uid="{00000000-0004-0000-0000-00004A000000}"/>
    <hyperlink ref="T13" location="'R5Post main'!$T$13" display="'R5Post main'!$T$13" xr:uid="{00000000-0004-0000-0000-00004B000000}"/>
    <hyperlink ref="T14" location="'R5Post main'!$T$14" display="'R5Post main'!$T$14" xr:uid="{00000000-0004-0000-0000-00004C000000}"/>
    <hyperlink ref="T15" location="'R5Post main'!$T$15" display="'R5Post main'!$T$15" xr:uid="{00000000-0004-0000-0000-00004D000000}"/>
    <hyperlink ref="T16" location="'R5Post main'!$T$16" display="'R5Post main'!$T$16" xr:uid="{00000000-0004-0000-0000-00004E000000}"/>
    <hyperlink ref="T17" location="'R5Post main'!$T$17" display="'R5Post main'!$T$17" xr:uid="{00000000-0004-0000-0000-00004F000000}"/>
    <hyperlink ref="V12" location="'R5Post main'!$V$12" display="'R5Post main'!$V$12" xr:uid="{00000000-0004-0000-0000-000050000000}"/>
    <hyperlink ref="V13" location="'R5Post main'!$V$13" display="'R5Post main'!$V$13" xr:uid="{00000000-0004-0000-0000-000051000000}"/>
    <hyperlink ref="V14" location="'R5Post main'!$V$14" display="'R5Post main'!$V$14" xr:uid="{00000000-0004-0000-0000-000052000000}"/>
    <hyperlink ref="V15" location="'R5Post main'!$V$15" display="'R5Post main'!$V$15" xr:uid="{00000000-0004-0000-0000-000053000000}"/>
    <hyperlink ref="V16" location="'R5Post main'!$V$16" display="'R5Post main'!$V$16" xr:uid="{00000000-0004-0000-0000-000054000000}"/>
    <hyperlink ref="V17" location="'R5Post main'!$V$17" display="'R5Post main'!$V$17" xr:uid="{00000000-0004-0000-0000-000055000000}"/>
    <hyperlink ref="X12" location="'R5Post main'!$X$12" display="'R5Post main'!$X$12" xr:uid="{00000000-0004-0000-0000-000056000000}"/>
    <hyperlink ref="X13" location="'R5Post main'!$X$13" display="'R5Post main'!$X$13" xr:uid="{00000000-0004-0000-0000-000057000000}"/>
    <hyperlink ref="X14" location="'R5Post main'!$X$14" display="'R5Post main'!$X$14" xr:uid="{00000000-0004-0000-0000-000058000000}"/>
    <hyperlink ref="X15" location="'R5Post main'!$X$15" display="'R5Post main'!$X$15" xr:uid="{00000000-0004-0000-0000-000059000000}"/>
    <hyperlink ref="X16" location="'R5Post main'!$X$16" display="'R5Post main'!$X$16" xr:uid="{00000000-0004-0000-0000-00005A000000}"/>
    <hyperlink ref="X17" location="'R5Post main'!$X$17" display="'R5Post main'!$X$17" xr:uid="{00000000-0004-0000-0000-00005B000000}"/>
    <hyperlink ref="Z12" location="'R5Post main'!$Z$12" display="'R5Post main'!$Z$12" xr:uid="{00000000-0004-0000-0000-00005C000000}"/>
    <hyperlink ref="Z13" location="'R5Post main'!$Z$13" display="'R5Post main'!$Z$13" xr:uid="{00000000-0004-0000-0000-00005D000000}"/>
    <hyperlink ref="Z14" location="'R5Post main'!$Z$14" display="'R5Post main'!$Z$14" xr:uid="{00000000-0004-0000-0000-00005E000000}"/>
    <hyperlink ref="Z15" location="'R5Post main'!$Z$15" display="'R5Post main'!$Z$15" xr:uid="{00000000-0004-0000-0000-00005F000000}"/>
    <hyperlink ref="Z16" location="'R5Post main'!$Z$16" display="'R5Post main'!$Z$16" xr:uid="{00000000-0004-0000-0000-000060000000}"/>
    <hyperlink ref="Z17" location="'R5Post main'!$Z$17" display="'R5Post main'!$Z$17" xr:uid="{00000000-0004-0000-0000-000061000000}"/>
    <hyperlink ref="AB12" location="'R5Post main'!$AB$12" display="'R5Post main'!$AB$12" xr:uid="{00000000-0004-0000-0000-000062000000}"/>
    <hyperlink ref="AB13" location="'R5Post main'!$AB$13" display="'R5Post main'!$AB$13" xr:uid="{00000000-0004-0000-0000-000063000000}"/>
    <hyperlink ref="AB14" location="'R5Post main'!$AB$14" display="'R5Post main'!$AB$14" xr:uid="{00000000-0004-0000-0000-000064000000}"/>
    <hyperlink ref="AB15" location="'R5Post main'!$AB$15" display="'R5Post main'!$AB$15" xr:uid="{00000000-0004-0000-0000-000065000000}"/>
    <hyperlink ref="AB16" location="'R5Post main'!$AB$16" display="'R5Post main'!$AB$16" xr:uid="{00000000-0004-0000-0000-000066000000}"/>
    <hyperlink ref="AB17" location="'R5Post main'!$AB$17" display="'R5Post main'!$AB$17" xr:uid="{00000000-0004-0000-0000-000067000000}"/>
    <hyperlink ref="AD12" location="'R5Post main'!$AD$12" display="'R5Post main'!$AD$12" xr:uid="{00000000-0004-0000-0000-000068000000}"/>
    <hyperlink ref="AD13" location="'R5Post main'!$AD$13" display="'R5Post main'!$AD$13" xr:uid="{00000000-0004-0000-0000-000069000000}"/>
    <hyperlink ref="AD14" location="'R5Post main'!$AD$14" display="'R5Post main'!$AD$14" xr:uid="{00000000-0004-0000-0000-00006A000000}"/>
    <hyperlink ref="AD15" location="'R5Post main'!$AD$15" display="'R5Post main'!$AD$15" xr:uid="{00000000-0004-0000-0000-00006B000000}"/>
    <hyperlink ref="AD16" location="'R5Post main'!$AD$16" display="'R5Post main'!$AD$16" xr:uid="{00000000-0004-0000-0000-00006C000000}"/>
    <hyperlink ref="AD17" location="'R5Post main'!$AD$17" display="'R5Post main'!$AD$17" xr:uid="{00000000-0004-0000-0000-00006D000000}"/>
    <hyperlink ref="AF12" location="'R5Post main'!$AF$12" display="'R5Post main'!$AF$12" xr:uid="{00000000-0004-0000-0000-00006E000000}"/>
    <hyperlink ref="AF13" location="'R5Post main'!$AF$13" display="'R5Post main'!$AF$13" xr:uid="{00000000-0004-0000-0000-00006F000000}"/>
    <hyperlink ref="AF14" location="'R5Post main'!$AF$14" display="'R5Post main'!$AF$14" xr:uid="{00000000-0004-0000-0000-000070000000}"/>
    <hyperlink ref="AF15" location="'R5Post main'!$AF$15" display="'R5Post main'!$AF$15" xr:uid="{00000000-0004-0000-0000-000071000000}"/>
    <hyperlink ref="AF16" location="'R5Post main'!$AF$16" display="'R5Post main'!$AF$16" xr:uid="{00000000-0004-0000-0000-000072000000}"/>
    <hyperlink ref="AF17" location="'R5Post main'!$AF$17" display="'R5Post main'!$AF$17" xr:uid="{00000000-0004-0000-0000-000073000000}"/>
    <hyperlink ref="AH12" location="'R5Post main'!$AH$12" display="'R5Post main'!$AH$12" xr:uid="{00000000-0004-0000-0000-000074000000}"/>
    <hyperlink ref="AH13" location="'R5Post main'!$AH$13" display="'R5Post main'!$AH$13" xr:uid="{00000000-0004-0000-0000-000075000000}"/>
    <hyperlink ref="AH14" location="'R5Post main'!$AH$14" display="'R5Post main'!$AH$14" xr:uid="{00000000-0004-0000-0000-000076000000}"/>
    <hyperlink ref="AH15" location="'R5Post main'!$AH$15" display="'R5Post main'!$AH$15" xr:uid="{00000000-0004-0000-0000-000077000000}"/>
    <hyperlink ref="AH16" location="'R5Post main'!$AH$16" display="'R5Post main'!$AH$16" xr:uid="{00000000-0004-0000-0000-000078000000}"/>
    <hyperlink ref="AH17" location="'R5Post main'!$AH$17" display="'R5Post main'!$AH$17" xr:uid="{00000000-0004-0000-0000-000079000000}"/>
    <hyperlink ref="AJ12" location="'R5Post main'!$AJ$12" display="'R5Post main'!$AJ$12" xr:uid="{00000000-0004-0000-0000-00007A000000}"/>
    <hyperlink ref="AJ13" location="'R5Post main'!$AJ$13" display="'R5Post main'!$AJ$13" xr:uid="{00000000-0004-0000-0000-00007B000000}"/>
    <hyperlink ref="AJ14" location="'R5Post main'!$AJ$14" display="'R5Post main'!$AJ$14" xr:uid="{00000000-0004-0000-0000-00007C000000}"/>
    <hyperlink ref="AJ15" location="'R5Post main'!$AJ$15" display="'R5Post main'!$AJ$15" xr:uid="{00000000-0004-0000-0000-00007D000000}"/>
    <hyperlink ref="AJ16" location="'R5Post main'!$AJ$16" display="'R5Post main'!$AJ$16" xr:uid="{00000000-0004-0000-0000-00007E000000}"/>
    <hyperlink ref="AJ17" location="'R5Post main'!$AJ$17" display="'R5Post main'!$AJ$17" xr:uid="{00000000-0004-0000-0000-00007F000000}"/>
    <hyperlink ref="AL12" location="'R5Post main'!$AL$12" display="'R5Post main'!$AL$12" xr:uid="{00000000-0004-0000-0000-000080000000}"/>
    <hyperlink ref="AL13" location="'R5Post main'!$AL$13" display="'R5Post main'!$AL$13" xr:uid="{00000000-0004-0000-0000-000081000000}"/>
    <hyperlink ref="AL14" location="'R5Post main'!$AL$14" display="'R5Post main'!$AL$14" xr:uid="{00000000-0004-0000-0000-000082000000}"/>
    <hyperlink ref="AL15" location="'R5Post main'!$AL$15" display="'R5Post main'!$AL$15" xr:uid="{00000000-0004-0000-0000-000083000000}"/>
    <hyperlink ref="AL16" location="'R5Post main'!$AL$16" display="'R5Post main'!$AL$16" xr:uid="{00000000-0004-0000-0000-000084000000}"/>
    <hyperlink ref="AL17" location="'R5Post main'!$AL$17" display="'R5Post main'!$AL$17" xr:uid="{00000000-0004-0000-0000-000085000000}"/>
    <hyperlink ref="AN12" location="'R5Post main'!$AN$12" display="'R5Post main'!$AN$12" xr:uid="{00000000-0004-0000-0000-000086000000}"/>
    <hyperlink ref="AN13" location="'R5Post main'!$AN$13" display="'R5Post main'!$AN$13" xr:uid="{00000000-0004-0000-0000-000087000000}"/>
    <hyperlink ref="AN14" location="'R5Post main'!$AN$14" display="'R5Post main'!$AN$14" xr:uid="{00000000-0004-0000-0000-000088000000}"/>
    <hyperlink ref="AN15" location="'R5Post main'!$AN$15" display="'R5Post main'!$AN$15" xr:uid="{00000000-0004-0000-0000-000089000000}"/>
    <hyperlink ref="AN16" location="'R5Post main'!$AN$16" display="'R5Post main'!$AN$16" xr:uid="{00000000-0004-0000-0000-00008A000000}"/>
    <hyperlink ref="AN17" location="'R5Post main'!$AN$17" display="'R5Post main'!$AN$17" xr:uid="{00000000-0004-0000-0000-00008B000000}"/>
    <hyperlink ref="AP12" location="'R5Post main'!$AP$12" display="'R5Post main'!$AP$12" xr:uid="{00000000-0004-0000-0000-00008C000000}"/>
    <hyperlink ref="AP13" location="'R5Post main'!$AP$13" display="'R5Post main'!$AP$13" xr:uid="{00000000-0004-0000-0000-00008D000000}"/>
    <hyperlink ref="AP14" location="'R5Post main'!$AP$14" display="'R5Post main'!$AP$14" xr:uid="{00000000-0004-0000-0000-00008E000000}"/>
    <hyperlink ref="AP15" location="'R5Post main'!$AP$15" display="'R5Post main'!$AP$15" xr:uid="{00000000-0004-0000-0000-00008F000000}"/>
    <hyperlink ref="AP16" location="'R5Post main'!$AP$16" display="'R5Post main'!$AP$16" xr:uid="{00000000-0004-0000-0000-000090000000}"/>
    <hyperlink ref="AP17" location="'R5Post main'!$AP$17" display="'R5Post main'!$AP$17" xr:uid="{00000000-0004-0000-0000-000091000000}"/>
    <hyperlink ref="AR12" location="'R5Post main'!$AR$12" display="'R5Post main'!$AR$12" xr:uid="{00000000-0004-0000-0000-000092000000}"/>
    <hyperlink ref="AR13" location="'R5Post main'!$AR$13" display="'R5Post main'!$AR$13" xr:uid="{00000000-0004-0000-0000-000093000000}"/>
    <hyperlink ref="AR14" location="'R5Post main'!$AR$14" display="'R5Post main'!$AR$14" xr:uid="{00000000-0004-0000-0000-000094000000}"/>
    <hyperlink ref="AR15" location="'R5Post main'!$AR$15" display="'R5Post main'!$AR$15" xr:uid="{00000000-0004-0000-0000-000095000000}"/>
    <hyperlink ref="AR16" location="'R5Post main'!$AR$16" display="'R5Post main'!$AR$16" xr:uid="{00000000-0004-0000-0000-000096000000}"/>
    <hyperlink ref="AR17" location="'R5Post main'!$AR$17" display="'R5Post main'!$AR$17" xr:uid="{00000000-0004-0000-0000-000097000000}"/>
    <hyperlink ref="AT12" location="'R5Post main'!$AT$12" display="'R5Post main'!$AT$12" xr:uid="{00000000-0004-0000-0000-000098000000}"/>
    <hyperlink ref="AT13" location="'R5Post main'!$AT$13" display="'R5Post main'!$AT$13" xr:uid="{00000000-0004-0000-0000-000099000000}"/>
    <hyperlink ref="AT14" location="'R5Post main'!$AT$14" display="'R5Post main'!$AT$14" xr:uid="{00000000-0004-0000-0000-00009A000000}"/>
    <hyperlink ref="AT15" location="'R5Post main'!$AT$15" display="'R5Post main'!$AT$15" xr:uid="{00000000-0004-0000-0000-00009B000000}"/>
    <hyperlink ref="AT16" location="'R5Post main'!$AT$16" display="'R5Post main'!$AT$16" xr:uid="{00000000-0004-0000-0000-00009C000000}"/>
    <hyperlink ref="AT17" location="'R5Post main'!$AT$17" display="'R5Post main'!$AT$17" xr:uid="{00000000-0004-0000-0000-00009D000000}"/>
    <hyperlink ref="AV12" location="'R5Post main'!$AV$12" display="'R5Post main'!$AV$12" xr:uid="{00000000-0004-0000-0000-00009E000000}"/>
    <hyperlink ref="AV13" location="'R5Post main'!$AV$13" display="'R5Post main'!$AV$13" xr:uid="{00000000-0004-0000-0000-00009F000000}"/>
    <hyperlink ref="AV14" location="'R5Post main'!$AV$14" display="'R5Post main'!$AV$14" xr:uid="{00000000-0004-0000-0000-0000A0000000}"/>
    <hyperlink ref="AV15" location="'R5Post main'!$AV$15" display="'R5Post main'!$AV$15" xr:uid="{00000000-0004-0000-0000-0000A1000000}"/>
    <hyperlink ref="AV16" location="'R5Post main'!$AV$16" display="'R5Post main'!$AV$16" xr:uid="{00000000-0004-0000-0000-0000A2000000}"/>
    <hyperlink ref="AV17" location="'R5Post main'!$AV$17" display="'R5Post main'!$AV$17" xr:uid="{00000000-0004-0000-0000-0000A3000000}"/>
    <hyperlink ref="AX12" location="'R5Post main'!$AX$12" display="'R5Post main'!$AX$12" xr:uid="{00000000-0004-0000-0000-0000A4000000}"/>
    <hyperlink ref="AX13" location="'R5Post main'!$AX$13" display="'R5Post main'!$AX$13" xr:uid="{00000000-0004-0000-0000-0000A5000000}"/>
    <hyperlink ref="AX14" location="'R5Post main'!$AX$14" display="'R5Post main'!$AX$14" xr:uid="{00000000-0004-0000-0000-0000A6000000}"/>
    <hyperlink ref="AX15" location="'R5Post main'!$AX$15" display="'R5Post main'!$AX$15" xr:uid="{00000000-0004-0000-0000-0000A7000000}"/>
    <hyperlink ref="AX16" location="'R5Post main'!$AX$16" display="'R5Post main'!$AX$16" xr:uid="{00000000-0004-0000-0000-0000A8000000}"/>
    <hyperlink ref="AX17" location="'R5Post main'!$AX$17" display="'R5Post main'!$AX$17" xr:uid="{00000000-0004-0000-0000-0000A9000000}"/>
    <hyperlink ref="AZ12" location="'R5Post main'!$AZ$12" display="'R5Post main'!$AZ$12" xr:uid="{00000000-0004-0000-0000-0000AA000000}"/>
    <hyperlink ref="AZ13" location="'R5Post main'!$AZ$13" display="'R5Post main'!$AZ$13" xr:uid="{00000000-0004-0000-0000-0000AB000000}"/>
    <hyperlink ref="AZ14" location="'R5Post main'!$AZ$14" display="'R5Post main'!$AZ$14" xr:uid="{00000000-0004-0000-0000-0000AC000000}"/>
    <hyperlink ref="AZ15" location="'R5Post main'!$AZ$15" display="'R5Post main'!$AZ$15" xr:uid="{00000000-0004-0000-0000-0000AD000000}"/>
    <hyperlink ref="AZ16" location="'R5Post main'!$AZ$16" display="'R5Post main'!$AZ$16" xr:uid="{00000000-0004-0000-0000-0000AE000000}"/>
    <hyperlink ref="AZ17" location="'R5Post main'!$AZ$17" display="'R5Post main'!$AZ$17" xr:uid="{00000000-0004-0000-0000-0000AF000000}"/>
    <hyperlink ref="BB12" location="'R5Post main'!$BB$12" display="'R5Post main'!$BB$12" xr:uid="{00000000-0004-0000-0000-0000B0000000}"/>
    <hyperlink ref="BB13" location="'R5Post main'!$BB$13" display="'R5Post main'!$BB$13" xr:uid="{00000000-0004-0000-0000-0000B1000000}"/>
    <hyperlink ref="BB14" location="'R5Post main'!$BB$14" display="'R5Post main'!$BB$14" xr:uid="{00000000-0004-0000-0000-0000B2000000}"/>
    <hyperlink ref="BB15" location="'R5Post main'!$BB$15" display="'R5Post main'!$BB$15" xr:uid="{00000000-0004-0000-0000-0000B3000000}"/>
    <hyperlink ref="BB16" location="'R5Post main'!$BB$16" display="'R5Post main'!$BB$16" xr:uid="{00000000-0004-0000-0000-0000B4000000}"/>
    <hyperlink ref="BB17" location="'R5Post main'!$BB$17" display="'R5Post main'!$BB$17" xr:uid="{00000000-0004-0000-0000-0000B5000000}"/>
    <hyperlink ref="BD12" location="'R5Post main'!$BD$12" display="'R5Post main'!$BD$12" xr:uid="{00000000-0004-0000-0000-0000B6000000}"/>
    <hyperlink ref="BD13" location="'R5Post main'!$BD$13" display="'R5Post main'!$BD$13" xr:uid="{00000000-0004-0000-0000-0000B7000000}"/>
    <hyperlink ref="BD14" location="'R5Post main'!$BD$14" display="'R5Post main'!$BD$14" xr:uid="{00000000-0004-0000-0000-0000B8000000}"/>
    <hyperlink ref="BD15" location="'R5Post main'!$BD$15" display="'R5Post main'!$BD$15" xr:uid="{00000000-0004-0000-0000-0000B9000000}"/>
    <hyperlink ref="BD16" location="'R5Post main'!$BD$16" display="'R5Post main'!$BD$16" xr:uid="{00000000-0004-0000-0000-0000BA000000}"/>
    <hyperlink ref="BD17" location="'R5Post main'!$BD$17" display="'R5Post main'!$BD$17" xr:uid="{00000000-0004-0000-0000-0000BB000000}"/>
    <hyperlink ref="BF12" location="'R5Post main'!$BF$12" display="'R5Post main'!$BF$12" xr:uid="{00000000-0004-0000-0000-0000BC000000}"/>
    <hyperlink ref="BF13" location="'R5Post main'!$BF$13" display="'R5Post main'!$BF$13" xr:uid="{00000000-0004-0000-0000-0000BD000000}"/>
    <hyperlink ref="BF14" location="'R5Post main'!$BF$14" display="'R5Post main'!$BF$14" xr:uid="{00000000-0004-0000-0000-0000BE000000}"/>
    <hyperlink ref="BF15" location="'R5Post main'!$BF$15" display="'R5Post main'!$BF$15" xr:uid="{00000000-0004-0000-0000-0000BF000000}"/>
    <hyperlink ref="BF16" location="'R5Post main'!$BF$16" display="'R5Post main'!$BF$16" xr:uid="{00000000-0004-0000-0000-0000C0000000}"/>
    <hyperlink ref="BF17" location="'R5Post main'!$BF$17" display="'R5Post main'!$BF$17" xr:uid="{00000000-0004-0000-0000-0000C1000000}"/>
    <hyperlink ref="B26" location="'R5Post main'!B26" display="'R5Post main'!B26" xr:uid="{00000000-0004-0000-0000-0000C2000000}"/>
    <hyperlink ref="D26" location="'R5Post main'!B26" display="'R5Post main'!B26" xr:uid="{00000000-0004-0000-0000-0000C3000000}"/>
    <hyperlink ref="F26" location="'R5Post main'!B26" display="'R5Post main'!B26" xr:uid="{00000000-0004-0000-0000-0000C4000000}"/>
    <hyperlink ref="B27" location="'R5Post main'!B26" display="'R5Post main'!B26" xr:uid="{00000000-0004-0000-0000-0000C5000000}"/>
    <hyperlink ref="D27" location="'R5Post main'!B26" display="'R5Post main'!B26" xr:uid="{00000000-0004-0000-0000-0000C6000000}"/>
    <hyperlink ref="F27" location="'R5Post main'!B26" display="'R5Post main'!B26" xr:uid="{00000000-0004-0000-0000-0000C7000000}"/>
    <hyperlink ref="H27" location="'R5Post main'!B26" display="'R5Post main'!B26" xr:uid="{00000000-0004-0000-0000-0000C8000000}"/>
    <hyperlink ref="A2" r:id="rId3" xr:uid="{00000000-0004-0000-0000-0000C9000000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PurgeFiles">
                <anchor>
                  <from>
                    <xdr:col>13</xdr:col>
                    <xdr:colOff>638175</xdr:colOff>
                    <xdr:row>1</xdr:row>
                    <xdr:rowOff>76200</xdr:rowOff>
                  </from>
                  <to>
                    <xdr:col>14</xdr:col>
                    <xdr:colOff>781050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SetPaths">
                <anchor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990600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2019-09-30T13:10:57Z</dcterms:modified>
</cp:coreProperties>
</file>