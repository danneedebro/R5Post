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R:\Ringhals\RT\RTP\RTPP\Verksamhet - Teknik\Teknikområde Strömning\Belastningsunderlag\Programvaror och verktyg\Modellering\R5Post_v1.0beta\"/>
    </mc:Choice>
  </mc:AlternateContent>
  <xr:revisionPtr revIDLastSave="0" documentId="13_ncr:1_{76FCE9FE-E58F-4604-8FBB-DE968580F1D6}" xr6:coauthVersionLast="36" xr6:coauthVersionMax="36" xr10:uidLastSave="{00000000-0000-0000-0000-000000000000}"/>
  <bookViews>
    <workbookView xWindow="0" yWindow="0" windowWidth="28800" windowHeight="14610" xr2:uid="{00000000-000D-0000-FFFF-FFFF00000000}"/>
  </bookViews>
  <sheets>
    <sheet name="R5Post main" sheetId="1" r:id="rId1"/>
    <sheet name="Help sectio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H24" i="1" l="1"/>
  <c r="BH18" i="1"/>
  <c r="BH17" i="1"/>
  <c r="BH16" i="1"/>
  <c r="BH15" i="1"/>
  <c r="BH14" i="1"/>
  <c r="BH13" i="1"/>
  <c r="BH12" i="1"/>
  <c r="BF24" i="1"/>
  <c r="BF18" i="1"/>
  <c r="BF17" i="1"/>
  <c r="BF16" i="1"/>
  <c r="BF15" i="1"/>
  <c r="BF14" i="1"/>
  <c r="BF13" i="1"/>
  <c r="BF12" i="1"/>
  <c r="BD24" i="1"/>
  <c r="BD18" i="1"/>
  <c r="BD17" i="1"/>
  <c r="BD16" i="1"/>
  <c r="BD15" i="1"/>
  <c r="BD14" i="1"/>
  <c r="BD13" i="1"/>
  <c r="BD12" i="1"/>
  <c r="BB24" i="1"/>
  <c r="BB18" i="1"/>
  <c r="BB17" i="1"/>
  <c r="BB16" i="1"/>
  <c r="BB15" i="1"/>
  <c r="BB14" i="1"/>
  <c r="BB13" i="1"/>
  <c r="BB12" i="1"/>
  <c r="AZ24" i="1"/>
  <c r="AZ18" i="1"/>
  <c r="AZ17" i="1"/>
  <c r="AZ16" i="1"/>
  <c r="AZ15" i="1"/>
  <c r="AZ14" i="1"/>
  <c r="AZ13" i="1"/>
  <c r="AZ12" i="1"/>
  <c r="AX24" i="1"/>
  <c r="AX18" i="1"/>
  <c r="AX17" i="1"/>
  <c r="AX16" i="1"/>
  <c r="AX15" i="1"/>
  <c r="AX14" i="1"/>
  <c r="AX13" i="1"/>
  <c r="AX12" i="1"/>
  <c r="AV24" i="1"/>
  <c r="AV18" i="1"/>
  <c r="AV17" i="1"/>
  <c r="AV16" i="1"/>
  <c r="AV15" i="1"/>
  <c r="AV14" i="1"/>
  <c r="AV13" i="1"/>
  <c r="AV12" i="1"/>
  <c r="AT24" i="1"/>
  <c r="AT18" i="1"/>
  <c r="AT17" i="1"/>
  <c r="AT16" i="1"/>
  <c r="AT15" i="1"/>
  <c r="AT14" i="1"/>
  <c r="AT13" i="1"/>
  <c r="AT12" i="1"/>
  <c r="AR24" i="1"/>
  <c r="AR18" i="1"/>
  <c r="AR17" i="1"/>
  <c r="AR16" i="1"/>
  <c r="AR15" i="1"/>
  <c r="AR14" i="1"/>
  <c r="AR13" i="1"/>
  <c r="AR12" i="1"/>
  <c r="AP24" i="1"/>
  <c r="AP18" i="1"/>
  <c r="AP17" i="1"/>
  <c r="AP16" i="1"/>
  <c r="AP15" i="1"/>
  <c r="AP14" i="1"/>
  <c r="AP13" i="1"/>
  <c r="AP12" i="1"/>
  <c r="AN24" i="1"/>
  <c r="AN18" i="1"/>
  <c r="AN17" i="1"/>
  <c r="AN16" i="1"/>
  <c r="AN15" i="1"/>
  <c r="AN14" i="1"/>
  <c r="AN13" i="1"/>
  <c r="AN12" i="1"/>
  <c r="AL24" i="1"/>
  <c r="AL18" i="1"/>
  <c r="AL17" i="1"/>
  <c r="AL16" i="1"/>
  <c r="AL15" i="1"/>
  <c r="AL14" i="1"/>
  <c r="AL13" i="1"/>
  <c r="AL12" i="1"/>
  <c r="AJ24" i="1"/>
  <c r="AJ18" i="1"/>
  <c r="AJ17" i="1"/>
  <c r="AJ16" i="1"/>
  <c r="AJ15" i="1"/>
  <c r="AJ14" i="1"/>
  <c r="AJ13" i="1"/>
  <c r="AJ12" i="1"/>
  <c r="AH24" i="1"/>
  <c r="AH18" i="1"/>
  <c r="AH17" i="1"/>
  <c r="AH16" i="1"/>
  <c r="AH15" i="1"/>
  <c r="AH14" i="1"/>
  <c r="AH13" i="1"/>
  <c r="AH12" i="1"/>
  <c r="AF24" i="1"/>
  <c r="AF18" i="1"/>
  <c r="AF17" i="1"/>
  <c r="AF16" i="1"/>
  <c r="AF15" i="1"/>
  <c r="AF14" i="1"/>
  <c r="AF13" i="1"/>
  <c r="AF12" i="1"/>
  <c r="AD24" i="1"/>
  <c r="AD18" i="1"/>
  <c r="AD17" i="1"/>
  <c r="AD16" i="1"/>
  <c r="AD15" i="1"/>
  <c r="AD14" i="1"/>
  <c r="AD13" i="1"/>
  <c r="AD12" i="1"/>
  <c r="AB24" i="1"/>
  <c r="AB18" i="1"/>
  <c r="AB17" i="1"/>
  <c r="AB16" i="1"/>
  <c r="AB15" i="1"/>
  <c r="AB14" i="1"/>
  <c r="AB13" i="1"/>
  <c r="AB12" i="1"/>
  <c r="Z24" i="1"/>
  <c r="Z18" i="1"/>
  <c r="Z17" i="1"/>
  <c r="Z16" i="1"/>
  <c r="Z15" i="1"/>
  <c r="Z14" i="1"/>
  <c r="Z13" i="1"/>
  <c r="Z12" i="1"/>
  <c r="X17" i="1"/>
  <c r="X16" i="1"/>
  <c r="X15" i="1"/>
  <c r="X14" i="1"/>
  <c r="X13" i="1"/>
  <c r="X12" i="1"/>
  <c r="V17" i="1"/>
  <c r="V16" i="1"/>
  <c r="V15" i="1"/>
  <c r="V14" i="1"/>
  <c r="V13" i="1"/>
  <c r="V12" i="1"/>
  <c r="T17" i="1"/>
  <c r="T16" i="1"/>
  <c r="T15" i="1"/>
  <c r="T14" i="1"/>
  <c r="T13" i="1"/>
  <c r="T12" i="1"/>
  <c r="R17" i="1"/>
  <c r="R16" i="1"/>
  <c r="R15" i="1"/>
  <c r="R14" i="1"/>
  <c r="R13" i="1"/>
  <c r="R12" i="1"/>
  <c r="P17" i="1"/>
  <c r="P16" i="1"/>
  <c r="P15" i="1"/>
  <c r="P14" i="1"/>
  <c r="P13" i="1"/>
  <c r="P12" i="1"/>
  <c r="N17" i="1"/>
  <c r="N16" i="1"/>
  <c r="N15" i="1"/>
  <c r="N14" i="1"/>
  <c r="N13" i="1"/>
  <c r="N12" i="1"/>
  <c r="L17" i="1"/>
  <c r="L16" i="1"/>
  <c r="L15" i="1"/>
  <c r="L14" i="1"/>
  <c r="L13" i="1"/>
  <c r="L12" i="1"/>
  <c r="J17" i="1"/>
  <c r="J16" i="1"/>
  <c r="J15" i="1"/>
  <c r="J14" i="1"/>
  <c r="J13" i="1"/>
  <c r="J12" i="1"/>
  <c r="H17" i="1"/>
  <c r="H16" i="1"/>
  <c r="H15" i="1"/>
  <c r="H14" i="1"/>
  <c r="H13" i="1"/>
  <c r="H12" i="1"/>
  <c r="F17" i="1"/>
  <c r="F16" i="1"/>
  <c r="F15" i="1"/>
  <c r="F14" i="1"/>
  <c r="F13" i="1"/>
  <c r="F12" i="1"/>
  <c r="D17" i="1"/>
  <c r="D16" i="1"/>
  <c r="D15" i="1"/>
  <c r="D14" i="1"/>
  <c r="D13" i="1"/>
  <c r="D12" i="1"/>
  <c r="BH32" i="1"/>
  <c r="BH26" i="1"/>
  <c r="BH31" i="1"/>
  <c r="BH25" i="1"/>
  <c r="BH30" i="1"/>
  <c r="BH27" i="1"/>
  <c r="BH23" i="1"/>
  <c r="BF31" i="1"/>
  <c r="BF25" i="1"/>
  <c r="BF23" i="1"/>
  <c r="BF26" i="1"/>
  <c r="BF30" i="1"/>
  <c r="BF27" i="1"/>
  <c r="BF32" i="1"/>
  <c r="BD32" i="1"/>
  <c r="BD26" i="1"/>
  <c r="BD23" i="1"/>
  <c r="BD31" i="1"/>
  <c r="BD25" i="1"/>
  <c r="BD30" i="1"/>
  <c r="BD27" i="1"/>
  <c r="BB32" i="1"/>
  <c r="BB26" i="1"/>
  <c r="BB23" i="1"/>
  <c r="BB31" i="1"/>
  <c r="BB25" i="1"/>
  <c r="BB30" i="1"/>
  <c r="BB27" i="1"/>
  <c r="AZ32" i="1"/>
  <c r="AZ26" i="1"/>
  <c r="AZ27" i="1"/>
  <c r="AZ31" i="1"/>
  <c r="AZ25" i="1"/>
  <c r="AZ30" i="1"/>
  <c r="AZ23" i="1"/>
  <c r="AX32" i="1"/>
  <c r="AX26" i="1"/>
  <c r="AX31" i="1"/>
  <c r="AX25" i="1"/>
  <c r="AX30" i="1"/>
  <c r="AX27" i="1"/>
  <c r="AX23" i="1"/>
  <c r="AV31" i="1"/>
  <c r="AV25" i="1"/>
  <c r="AV30" i="1"/>
  <c r="AV26" i="1"/>
  <c r="AV27" i="1"/>
  <c r="AV23" i="1"/>
  <c r="AV32" i="1"/>
  <c r="AT32" i="1"/>
  <c r="AT26" i="1"/>
  <c r="AT31" i="1"/>
  <c r="AT25" i="1"/>
  <c r="AT27" i="1"/>
  <c r="AT23" i="1"/>
  <c r="AT30" i="1"/>
  <c r="AR30" i="1"/>
  <c r="AR32" i="1"/>
  <c r="AR31" i="1"/>
  <c r="AR27" i="1"/>
  <c r="AR23" i="1"/>
  <c r="AR26" i="1"/>
  <c r="AR25" i="1"/>
  <c r="AP32" i="1"/>
  <c r="AP26" i="1"/>
  <c r="AP31" i="1"/>
  <c r="AP25" i="1"/>
  <c r="AP30" i="1"/>
  <c r="AP27" i="1"/>
  <c r="AP23" i="1"/>
  <c r="AN32" i="1"/>
  <c r="AN26" i="1"/>
  <c r="AN31" i="1"/>
  <c r="AN25" i="1"/>
  <c r="AN30" i="1"/>
  <c r="AN27" i="1"/>
  <c r="AN23" i="1"/>
  <c r="AL32" i="1"/>
  <c r="AL26" i="1"/>
  <c r="AL31" i="1"/>
  <c r="AL25" i="1"/>
  <c r="AL30" i="1"/>
  <c r="AL27" i="1"/>
  <c r="AL23" i="1"/>
  <c r="AJ32" i="1"/>
  <c r="AJ26" i="1"/>
  <c r="AJ31" i="1"/>
  <c r="AJ25" i="1"/>
  <c r="AJ30" i="1"/>
  <c r="AJ27" i="1"/>
  <c r="AJ23" i="1"/>
  <c r="AH32" i="1"/>
  <c r="AH26" i="1"/>
  <c r="AH25" i="1"/>
  <c r="AH30" i="1"/>
  <c r="AH27" i="1"/>
  <c r="AH23" i="1"/>
  <c r="AH31" i="1"/>
  <c r="AF32" i="1"/>
  <c r="AF26" i="1"/>
  <c r="AF23" i="1"/>
  <c r="AF31" i="1"/>
  <c r="AF25" i="1"/>
  <c r="AF30" i="1"/>
  <c r="AF27" i="1"/>
  <c r="AD32" i="1"/>
  <c r="AD26" i="1"/>
  <c r="AD31" i="1"/>
  <c r="AD25" i="1"/>
  <c r="AD23" i="1"/>
  <c r="AD30" i="1"/>
  <c r="AD27" i="1"/>
  <c r="AB32" i="1"/>
  <c r="AB26" i="1"/>
  <c r="AB31" i="1"/>
  <c r="AB25" i="1"/>
  <c r="AB23" i="1"/>
  <c r="AB30" i="1"/>
  <c r="AB27" i="1"/>
  <c r="Z32" i="1"/>
  <c r="Z26" i="1"/>
  <c r="Z31" i="1"/>
  <c r="Z25" i="1"/>
  <c r="Z27" i="1"/>
  <c r="Z23" i="1"/>
  <c r="Z30" i="1"/>
  <c r="B17" i="1" l="1"/>
  <c r="B16" i="1"/>
  <c r="B15" i="1"/>
  <c r="B14" i="1"/>
  <c r="B13" i="1"/>
  <c r="X24" i="1" l="1"/>
  <c r="V24" i="1"/>
  <c r="T24" i="1"/>
  <c r="R24" i="1"/>
  <c r="P24" i="1"/>
  <c r="N24" i="1"/>
  <c r="L24" i="1"/>
  <c r="J24" i="1"/>
  <c r="H24" i="1"/>
  <c r="F24" i="1"/>
  <c r="D24" i="1"/>
  <c r="B12" i="1"/>
  <c r="V26" i="1"/>
  <c r="P27" i="1"/>
  <c r="V23" i="1"/>
  <c r="R31" i="1"/>
  <c r="R25" i="1"/>
  <c r="T25" i="1"/>
  <c r="N25" i="1"/>
  <c r="X27" i="1"/>
  <c r="T27" i="1"/>
  <c r="N31" i="1"/>
  <c r="T32" i="1"/>
  <c r="R32" i="1"/>
  <c r="X32" i="1"/>
  <c r="R30" i="1"/>
  <c r="N26" i="1"/>
  <c r="X26" i="1"/>
  <c r="R27" i="1"/>
  <c r="V27" i="1"/>
  <c r="N30" i="1"/>
  <c r="X31" i="1"/>
  <c r="T31" i="1"/>
  <c r="P26" i="1"/>
  <c r="T23" i="1"/>
  <c r="X23" i="1"/>
  <c r="T26" i="1"/>
  <c r="N23" i="1"/>
  <c r="N27" i="1"/>
  <c r="R23" i="1"/>
  <c r="V25" i="1"/>
  <c r="P32" i="1"/>
  <c r="N32" i="1"/>
  <c r="V32" i="1"/>
  <c r="V30" i="1"/>
  <c r="P23" i="1"/>
  <c r="V31" i="1"/>
  <c r="P31" i="1"/>
  <c r="P30" i="1"/>
  <c r="R26" i="1"/>
  <c r="X25" i="1"/>
  <c r="T30" i="1"/>
  <c r="P25" i="1"/>
  <c r="X30" i="1"/>
  <c r="D26" i="1"/>
  <c r="D32" i="1"/>
  <c r="D27" i="1"/>
  <c r="D25" i="1"/>
  <c r="D31" i="1"/>
  <c r="D30" i="1"/>
  <c r="D23" i="1"/>
  <c r="J31" i="1"/>
  <c r="F25" i="1"/>
  <c r="J25" i="1"/>
  <c r="H30" i="1"/>
  <c r="L27" i="1"/>
  <c r="F26" i="1"/>
  <c r="F32" i="1"/>
  <c r="J23" i="1"/>
  <c r="H25" i="1"/>
  <c r="F27" i="1"/>
  <c r="H27" i="1"/>
  <c r="L23" i="1"/>
  <c r="F23" i="1"/>
  <c r="F30" i="1"/>
  <c r="H32" i="1"/>
  <c r="L31" i="1"/>
  <c r="H31" i="1"/>
  <c r="F31" i="1"/>
  <c r="J27" i="1"/>
  <c r="H23" i="1"/>
  <c r="J32" i="1"/>
  <c r="J26" i="1"/>
  <c r="J30" i="1"/>
  <c r="H26" i="1"/>
  <c r="L25" i="1"/>
  <c r="L30" i="1"/>
  <c r="L26" i="1"/>
  <c r="L32" i="1"/>
  <c r="B24" i="1" l="1"/>
  <c r="D18" i="1"/>
  <c r="F18" i="1" s="1"/>
  <c r="H18" i="1" s="1"/>
  <c r="J18" i="1" s="1"/>
  <c r="L18" i="1" s="1"/>
  <c r="N18" i="1" s="1"/>
  <c r="P18" i="1" s="1"/>
  <c r="R18" i="1" s="1"/>
  <c r="T18" i="1" s="1"/>
  <c r="V18" i="1" s="1"/>
  <c r="X18" i="1" s="1"/>
  <c r="B23" i="1"/>
  <c r="B27" i="1"/>
  <c r="B30" i="1"/>
  <c r="B26" i="1"/>
  <c r="B31" i="1"/>
  <c r="B25" i="1"/>
  <c r="B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Edebro Daniel (GN-TPP)</author>
  </authors>
  <commentList>
    <comment ref="A19" authorId="0" shapeId="0" xr:uid="{ACABC723-B46A-421A-97FA-1E3BD6CBAEAC}">
      <text>
        <r>
          <rPr>
            <sz val="12"/>
            <color indexed="81"/>
            <rFont val="Tahoma"/>
            <family val="2"/>
          </rPr>
          <t>Writing text here lights upp every file path
Example:
"Case1" assumes filenames "Case1\Case1.XXX"
"Case1\Case1_mod" assumes filenames "Case1\Case1_mod.XXX"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<sst xmlns="http://schemas.openxmlformats.org/spreadsheetml/2006/main" count="53" uniqueCount="45">
  <si>
    <t>#</t>
  </si>
  <si>
    <t>t1 (s)</t>
  </si>
  <si>
    <t>t2 (s)</t>
  </si>
  <si>
    <t>Case1</t>
  </si>
  <si>
    <t>OK</t>
  </si>
  <si>
    <t>Case</t>
  </si>
  <si>
    <t>Title</t>
  </si>
  <si>
    <t>.i-file</t>
  </si>
  <si>
    <t>.o-file</t>
  </si>
  <si>
    <t>.rst-file</t>
  </si>
  <si>
    <t>.dmx-file</t>
  </si>
  <si>
    <t>.strip-file</t>
  </si>
  <si>
    <t>.str-file 1</t>
  </si>
  <si>
    <t>.ps-file 1</t>
  </si>
  <si>
    <t>.pdf-file 1</t>
  </si>
  <si>
    <t>Logfile</t>
  </si>
  <si>
    <t>matlab.exe =</t>
  </si>
  <si>
    <t>plottaStripfil.m =</t>
  </si>
  <si>
    <t xml:space="preserve">Param file </t>
  </si>
  <si>
    <t>Stripfile.strip.txt</t>
  </si>
  <si>
    <t>Stripfile.strip</t>
  </si>
  <si>
    <t>Case2</t>
  </si>
  <si>
    <t>H:\RELAP5\Script\plottaStripfil\plottaStripfil.m</t>
  </si>
  <si>
    <t>C:\Program Files\MATLAB\R2018b\bin\matlab.exe</t>
  </si>
  <si>
    <t>(missing)</t>
  </si>
  <si>
    <t>r2dmx.exe =</t>
  </si>
  <si>
    <t>C:\Users\dero\AptPlot\bin\r2dmx.exe</t>
  </si>
  <si>
    <t>.strip-file =</t>
  </si>
  <si>
    <t>Parameter file =</t>
  </si>
  <si>
    <t>Global strip-request files</t>
  </si>
  <si>
    <t>Paths</t>
  </si>
  <si>
    <t>relap5.exe =</t>
  </si>
  <si>
    <t>.strip-file forces =</t>
  </si>
  <si>
    <t>Stripfile-forces.strip</t>
  </si>
  <si>
    <t>H:\RELAP5\bin\relap5\relap5mod3.3patch03\relap5.exe</t>
  </si>
  <si>
    <t>Case3</t>
  </si>
  <si>
    <t>Actions</t>
  </si>
  <si>
    <t>gs.exe</t>
  </si>
  <si>
    <t>H:\RELAP5\Script\gs9.10\bin\gswin64c.exe</t>
  </si>
  <si>
    <r>
      <t xml:space="preserve">R5Post </t>
    </r>
    <r>
      <rPr>
        <sz val="22"/>
        <color theme="1"/>
        <rFont val="Calibri"/>
        <family val="2"/>
        <scheme val="minor"/>
      </rPr>
      <t>v1.0 (beta)</t>
    </r>
  </si>
  <si>
    <t>Case1\Case1_T=100degC</t>
  </si>
  <si>
    <t>Case 1 - Stängningstid = 1.0 s</t>
  </si>
  <si>
    <t>Case 1 - Stängningstid = 0.1 s</t>
  </si>
  <si>
    <t>Case 1 - Stängningstid = 5.0 s</t>
  </si>
  <si>
    <t>Case 1 - Stängningstid = 1.0 s @ T=100°C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</si>
</sst>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kr&quot;;[Red]\-#,##0.00\ &quot;kr&quot;"/>
    <numFmt numFmtId="164" formatCode="0.000"/>
  </numFmts>
  <fonts count="1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rgb="FF000000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rgb="FF3F3F76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right"/>
    </xf>
    <xf numFmtId="0" fontId="3" fillId="0" borderId="0" xfId="2"/>
    <xf numFmtId="0" fontId="4" fillId="3" borderId="2" xfId="0" applyFont="1" applyFill="1" applyBorder="1"/>
    <xf numFmtId="0" fontId="2" fillId="0" borderId="0" xfId="0" applyFont="1"/>
    <xf numFmtId="0" fontId="0" fillId="0" borderId="3" xfId="0" applyFill="1" applyBorder="1"/>
    <xf numFmtId="0" fontId="3" fillId="0" borderId="3" xfId="2" applyFill="1" applyBorder="1"/>
    <xf numFmtId="0" fontId="3" fillId="0" borderId="5" xfId="2" applyFill="1" applyBorder="1"/>
    <xf numFmtId="0" fontId="3" fillId="0" borderId="0" xfId="2" applyFill="1"/>
    <xf numFmtId="8" fontId="0" fillId="0" borderId="0" xfId="0" applyNumberFormat="1"/>
    <xf numFmtId="0" fontId="8" fillId="0" borderId="4" xfId="0" applyFont="1" applyFill="1" applyBorder="1" applyAlignment="1">
      <alignment horizontal="center"/>
    </xf>
    <xf numFmtId="22" fontId="8" fillId="0" borderId="4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right"/>
    </xf>
    <xf numFmtId="0" fontId="5" fillId="4" borderId="9" xfId="0" applyFont="1" applyFill="1" applyBorder="1" applyAlignment="1">
      <alignment horizontal="right"/>
    </xf>
    <xf numFmtId="0" fontId="5" fillId="4" borderId="10" xfId="0" applyFont="1" applyFill="1" applyBorder="1" applyAlignment="1">
      <alignment horizontal="right"/>
    </xf>
    <xf numFmtId="22" fontId="8" fillId="0" borderId="6" xfId="0" applyNumberFormat="1" applyFont="1" applyFill="1" applyBorder="1" applyAlignment="1">
      <alignment horizontal="center"/>
    </xf>
    <xf numFmtId="0" fontId="10" fillId="0" borderId="0" xfId="0" applyFont="1"/>
    <xf numFmtId="0" fontId="11" fillId="3" borderId="3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right"/>
    </xf>
    <xf numFmtId="0" fontId="13" fillId="3" borderId="0" xfId="0" applyFont="1" applyFill="1" applyBorder="1"/>
    <xf numFmtId="0" fontId="13" fillId="3" borderId="11" xfId="0" applyFont="1" applyFill="1" applyBorder="1"/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22" fontId="8" fillId="3" borderId="4" xfId="0" applyNumberFormat="1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164" fontId="1" fillId="2" borderId="3" xfId="1" applyNumberFormat="1" applyBorder="1" applyAlignment="1">
      <alignment horizontal="center"/>
    </xf>
    <xf numFmtId="164" fontId="1" fillId="2" borderId="4" xfId="1" applyNumberFormat="1" applyBorder="1" applyAlignment="1"/>
    <xf numFmtId="164" fontId="1" fillId="2" borderId="5" xfId="1" applyNumberFormat="1" applyBorder="1" applyAlignment="1">
      <alignment horizontal="center"/>
    </xf>
    <xf numFmtId="164" fontId="1" fillId="2" borderId="6" xfId="1" applyNumberFormat="1" applyBorder="1" applyAlignment="1"/>
    <xf numFmtId="0" fontId="3" fillId="3" borderId="7" xfId="2" applyFill="1" applyBorder="1" applyAlignment="1">
      <alignment horizontal="center"/>
    </xf>
    <xf numFmtId="0" fontId="3" fillId="3" borderId="8" xfId="2" applyFill="1" applyBorder="1" applyAlignment="1">
      <alignment horizontal="center"/>
    </xf>
    <xf numFmtId="0" fontId="3" fillId="3" borderId="3" xfId="2" applyFill="1" applyBorder="1" applyAlignment="1">
      <alignment horizontal="center"/>
    </xf>
    <xf numFmtId="0" fontId="3" fillId="3" borderId="4" xfId="2" applyFill="1" applyBorder="1" applyAlignment="1">
      <alignment horizontal="center"/>
    </xf>
    <xf numFmtId="0" fontId="3" fillId="3" borderId="5" xfId="2" applyFill="1" applyBorder="1" applyAlignment="1">
      <alignment horizontal="center"/>
    </xf>
    <xf numFmtId="0" fontId="3" fillId="3" borderId="6" xfId="2" applyFill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8" xfId="1" applyBorder="1" applyAlignment="1"/>
    <xf numFmtId="0" fontId="6" fillId="2" borderId="3" xfId="1" applyFont="1" applyBorder="1" applyAlignment="1">
      <alignment horizontal="center"/>
    </xf>
    <xf numFmtId="0" fontId="6" fillId="2" borderId="4" xfId="1" applyFont="1" applyBorder="1" applyAlignment="1"/>
    <xf numFmtId="0" fontId="9" fillId="2" borderId="3" xfId="1" applyFont="1" applyBorder="1" applyAlignment="1">
      <alignment horizontal="center"/>
    </xf>
    <xf numFmtId="0" fontId="9" fillId="2" borderId="4" xfId="1" applyFont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3" borderId="0" xfId="0" applyFill="1" applyBorder="1" applyAlignment="1"/>
    <xf numFmtId="0" fontId="0" fillId="3" borderId="11" xfId="0" applyFill="1" applyBorder="1" applyAlignment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3">
    <cellStyle name="Hyperlänk" xfId="2" builtinId="8"/>
    <cellStyle name="Indata" xfId="1" builtinId="20"/>
    <cellStyle name="Normal" xfId="0" builtinId="0"/>
  </cellStyles>
  <dxfs count="48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133350</xdr:rowOff>
        </xdr:from>
        <xdr:to>
          <xdr:col>1</xdr:col>
          <xdr:colOff>123825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Refresh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66675</xdr:colOff>
          <xdr:row>1</xdr:row>
          <xdr:rowOff>133350</xdr:rowOff>
        </xdr:from>
        <xdr:to>
          <xdr:col>13</xdr:col>
          <xdr:colOff>457200</xdr:colOff>
          <xdr:row>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Delete non-tracked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306885</xdr:colOff>
      <xdr:row>41</xdr:row>
      <xdr:rowOff>86827</xdr:rowOff>
    </xdr:to>
    <xdr:grpSp>
      <xdr:nvGrpSpPr>
        <xdr:cNvPr id="21" name="Grup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0" y="0"/>
          <a:ext cx="14937285" cy="7897327"/>
          <a:chOff x="0" y="0"/>
          <a:chExt cx="14937285" cy="7897327"/>
        </a:xfrm>
      </xdr:grpSpPr>
      <xdr:pic>
        <xdr:nvPicPr>
          <xdr:cNvPr id="13" name="Bildobjekt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14937285" cy="7897327"/>
          </a:xfrm>
          <a:prstGeom prst="rect">
            <a:avLst/>
          </a:prstGeom>
        </xdr:spPr>
      </xdr:pic>
      <xdr:sp macro="" textlink="">
        <xdr:nvSpPr>
          <xdr:cNvPr id="4" name="Pil: vänste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239559">
            <a:off x="9700686" y="1562544"/>
            <a:ext cx="6693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3" name="textrut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10144125" y="15430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Adjust paths</a:t>
            </a:r>
          </a:p>
        </xdr:txBody>
      </xdr:sp>
      <xdr:sp macro="" textlink="">
        <xdr:nvSpPr>
          <xdr:cNvPr id="5" name="Pil: vänste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18546929">
            <a:off x="2438418" y="180286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6" name="textruta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3124200" y="1057275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Actions</a:t>
            </a:r>
          </a:p>
        </xdr:txBody>
      </xdr:sp>
      <xdr:pic>
        <xdr:nvPicPr>
          <xdr:cNvPr id="9" name="Bildobjekt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15475" y="3057525"/>
            <a:ext cx="1962424" cy="4324954"/>
          </a:xfrm>
          <a:prstGeom prst="rect">
            <a:avLst/>
          </a:prstGeom>
          <a:ln>
            <a:solidFill>
              <a:sysClr val="windowText" lastClr="0000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" name="Pil: nedåtböjd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9248775" y="3019425"/>
            <a:ext cx="704850" cy="371475"/>
          </a:xfrm>
          <a:prstGeom prst="curvedDown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sv-SE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textruta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9105900" y="243840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Writing</a:t>
            </a:r>
            <a:r>
              <a:rPr lang="sv-SE" sz="1100" baseline="0"/>
              <a:t> "Case4" lights up everything</a:t>
            </a:r>
            <a:endParaRPr lang="sv-SE" sz="1100"/>
          </a:p>
        </xdr:txBody>
      </xdr:sp>
      <xdr:sp macro="" textlink="">
        <xdr:nvSpPr>
          <xdr:cNvPr id="15" name="Pil: vänster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7666775">
            <a:off x="4505343" y="627961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4" name="textruta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3362325" y="6696075"/>
            <a:ext cx="1485900" cy="9239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Red text indicates that derived files are older than its parent</a:t>
            </a:r>
          </a:p>
        </xdr:txBody>
      </xdr:sp>
      <xdr:sp macro="" textlink="">
        <xdr:nvSpPr>
          <xdr:cNvPr id="16" name="Pil: vänster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20065150">
            <a:off x="1254131" y="887570"/>
            <a:ext cx="549920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2" name="textruta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609725" y="685799"/>
            <a:ext cx="1304925" cy="8096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Refresh all timestamps (press frequently to check status)</a:t>
            </a:r>
          </a:p>
        </xdr:txBody>
      </xdr:sp>
      <xdr:sp macro="" textlink="">
        <xdr:nvSpPr>
          <xdr:cNvPr id="18" name="Pil: vänster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21262674">
            <a:off x="11943610" y="819198"/>
            <a:ext cx="855727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7" name="textruta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12696825" y="7429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Deletes all files that aren't listed below</a:t>
            </a:r>
          </a:p>
        </xdr:txBody>
      </xdr:sp>
      <xdr:sp macro="" textlink="">
        <xdr:nvSpPr>
          <xdr:cNvPr id="20" name="Pil: vänster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18148402">
            <a:off x="4171967" y="2860140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9" name="textruta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676775" y="1895476"/>
            <a:ext cx="1485900" cy="704849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Use this text format for modifications in same folder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99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I43"/>
  <sheetViews>
    <sheetView tabSelected="1" zoomScale="85" zoomScaleNormal="85" workbookViewId="0">
      <selection activeCell="H32" sqref="H32"/>
    </sheetView>
  </sheetViews>
  <sheetFormatPr defaultRowHeight="15" x14ac:dyDescent="0.25"/>
  <cols>
    <col min="1" max="1" width="19" customWidth="1"/>
    <col min="2" max="2" width="19.85546875" bestFit="1" customWidth="1"/>
    <col min="3" max="3" width="13" customWidth="1"/>
    <col min="4" max="4" width="16.85546875" customWidth="1"/>
    <col min="5" max="5" width="13" customWidth="1"/>
    <col min="6" max="6" width="16.7109375" customWidth="1"/>
    <col min="7" max="7" width="13" customWidth="1"/>
    <col min="8" max="8" width="16.7109375" customWidth="1"/>
    <col min="9" max="9" width="13" customWidth="1"/>
    <col min="10" max="10" width="16.7109375" customWidth="1"/>
    <col min="11" max="11" width="13" customWidth="1"/>
    <col min="12" max="12" width="16.7109375" customWidth="1"/>
    <col min="13" max="13" width="13" customWidth="1"/>
    <col min="14" max="14" width="16.7109375" customWidth="1"/>
    <col min="15" max="15" width="13" customWidth="1"/>
    <col min="16" max="16" width="16.7109375" customWidth="1"/>
    <col min="17" max="17" width="13" customWidth="1"/>
    <col min="18" max="18" width="16.7109375" customWidth="1"/>
    <col min="19" max="19" width="13" customWidth="1"/>
    <col min="20" max="20" width="16.7109375" customWidth="1"/>
    <col min="21" max="21" width="13" customWidth="1"/>
    <col min="22" max="22" width="16.7109375" customWidth="1"/>
    <col min="23" max="23" width="13" customWidth="1"/>
    <col min="24" max="24" width="16.7109375" customWidth="1"/>
    <col min="25" max="25" width="13" customWidth="1"/>
  </cols>
  <sheetData>
    <row r="1" spans="1:61" ht="46.5" x14ac:dyDescent="0.7">
      <c r="A1" s="16" t="s">
        <v>39</v>
      </c>
    </row>
    <row r="2" spans="1:61" ht="15.75" x14ac:dyDescent="0.25">
      <c r="F2" s="43" t="s">
        <v>30</v>
      </c>
      <c r="G2" s="44"/>
      <c r="H2" s="44"/>
      <c r="I2" s="44"/>
      <c r="J2" s="44"/>
      <c r="K2" s="45"/>
    </row>
    <row r="3" spans="1:61" x14ac:dyDescent="0.25">
      <c r="F3" s="21" t="s">
        <v>31</v>
      </c>
      <c r="G3" s="46" t="s">
        <v>34</v>
      </c>
      <c r="H3" s="46"/>
      <c r="I3" s="46"/>
      <c r="J3" s="46"/>
      <c r="K3" s="26" t="s">
        <v>4</v>
      </c>
    </row>
    <row r="4" spans="1:61" x14ac:dyDescent="0.25">
      <c r="F4" s="21" t="s">
        <v>16</v>
      </c>
      <c r="G4" s="46" t="s">
        <v>23</v>
      </c>
      <c r="H4" s="46"/>
      <c r="I4" s="46"/>
      <c r="J4" s="46"/>
      <c r="K4" s="26" t="s">
        <v>4</v>
      </c>
    </row>
    <row r="5" spans="1:61" x14ac:dyDescent="0.25">
      <c r="F5" s="21" t="s">
        <v>17</v>
      </c>
      <c r="G5" s="46" t="s">
        <v>22</v>
      </c>
      <c r="H5" s="46"/>
      <c r="I5" s="46"/>
      <c r="J5" s="46"/>
      <c r="K5" s="26" t="s">
        <v>4</v>
      </c>
    </row>
    <row r="6" spans="1:61" x14ac:dyDescent="0.25">
      <c r="F6" s="21" t="s">
        <v>25</v>
      </c>
      <c r="G6" s="46" t="s">
        <v>26</v>
      </c>
      <c r="H6" s="46"/>
      <c r="I6" s="46"/>
      <c r="J6" s="46"/>
      <c r="K6" s="26" t="s">
        <v>4</v>
      </c>
    </row>
    <row r="7" spans="1:61" x14ac:dyDescent="0.25">
      <c r="F7" s="21" t="s">
        <v>37</v>
      </c>
      <c r="G7" s="46" t="s">
        <v>38</v>
      </c>
      <c r="H7" s="46"/>
      <c r="I7" s="46"/>
      <c r="J7" s="46"/>
      <c r="K7" s="26" t="s">
        <v>4</v>
      </c>
    </row>
    <row r="8" spans="1:61" ht="15.75" x14ac:dyDescent="0.25">
      <c r="A8" s="43" t="s">
        <v>29</v>
      </c>
      <c r="B8" s="48"/>
      <c r="C8" s="49"/>
      <c r="F8" s="21"/>
      <c r="G8" s="46"/>
      <c r="H8" s="46"/>
      <c r="I8" s="46"/>
      <c r="J8" s="46"/>
      <c r="K8" s="26"/>
    </row>
    <row r="9" spans="1:61" ht="15.75" x14ac:dyDescent="0.25">
      <c r="A9" s="17" t="s">
        <v>27</v>
      </c>
      <c r="B9" s="19" t="s">
        <v>20</v>
      </c>
      <c r="C9" s="24">
        <v>43647.527824074074</v>
      </c>
      <c r="F9" s="21"/>
      <c r="G9" s="46"/>
      <c r="H9" s="46"/>
      <c r="I9" s="46"/>
      <c r="J9" s="46"/>
      <c r="K9" s="26"/>
    </row>
    <row r="10" spans="1:61" ht="15.75" x14ac:dyDescent="0.25">
      <c r="A10" s="17" t="s">
        <v>28</v>
      </c>
      <c r="B10" s="19" t="s">
        <v>19</v>
      </c>
      <c r="C10" s="24">
        <v>43647.527824074074</v>
      </c>
      <c r="F10" s="22"/>
      <c r="G10" s="47"/>
      <c r="H10" s="47"/>
      <c r="I10" s="47"/>
      <c r="J10" s="47"/>
      <c r="K10" s="23"/>
    </row>
    <row r="11" spans="1:61" ht="15.75" x14ac:dyDescent="0.25">
      <c r="A11" s="18" t="s">
        <v>32</v>
      </c>
      <c r="B11" s="20" t="s">
        <v>33</v>
      </c>
      <c r="C11" s="25" t="s">
        <v>24</v>
      </c>
    </row>
    <row r="12" spans="1:61" ht="15.75" customHeight="1" x14ac:dyDescent="0.25">
      <c r="A12" s="50" t="s">
        <v>36</v>
      </c>
      <c r="B12" s="33" t="str">
        <f>IF(B$19="","","(Calc)")</f>
        <v>(Calc)</v>
      </c>
      <c r="C12" s="34"/>
      <c r="D12" s="31" t="str">
        <f>IF(D$19="","","(Calc)")</f>
        <v>(Calc)</v>
      </c>
      <c r="E12" s="32"/>
      <c r="F12" s="31" t="str">
        <f>IF(F$19="","","(Calc)")</f>
        <v>(Calc)</v>
      </c>
      <c r="G12" s="32"/>
      <c r="H12" s="31" t="str">
        <f>IF(H$19="","","(Calc)")</f>
        <v>(Calc)</v>
      </c>
      <c r="I12" s="32"/>
      <c r="J12" s="31" t="str">
        <f>IF(J$19="","","(Calc)")</f>
        <v/>
      </c>
      <c r="K12" s="32"/>
      <c r="L12" s="31" t="str">
        <f>IF(L$19="","","(Calc)")</f>
        <v/>
      </c>
      <c r="M12" s="32"/>
      <c r="N12" s="31" t="str">
        <f>IF(N$19="","","(Calc)")</f>
        <v/>
      </c>
      <c r="O12" s="32"/>
      <c r="P12" s="31" t="str">
        <f>IF(P$19="","","(Calc)")</f>
        <v/>
      </c>
      <c r="Q12" s="32"/>
      <c r="R12" s="31" t="str">
        <f>IF(R$19="","","(Calc)")</f>
        <v/>
      </c>
      <c r="S12" s="32"/>
      <c r="T12" s="31" t="str">
        <f>IF(T$19="","","(Calc)")</f>
        <v/>
      </c>
      <c r="U12" s="32"/>
      <c r="V12" s="31" t="str">
        <f>IF(V$19="","","(Calc)")</f>
        <v/>
      </c>
      <c r="W12" s="32"/>
      <c r="X12" s="31" t="str">
        <f>IF(X$19="","","(Calc)")</f>
        <v/>
      </c>
      <c r="Y12" s="32"/>
      <c r="Z12" s="31" t="str">
        <f>IF(Z$19="","","(Calc)")</f>
        <v/>
      </c>
      <c r="AA12" s="32"/>
      <c r="AB12" s="31" t="str">
        <f>IF(AB$19="","","(Calc)")</f>
        <v/>
      </c>
      <c r="AC12" s="32"/>
      <c r="AD12" s="31" t="str">
        <f>IF(AD$19="","","(Calc)")</f>
        <v/>
      </c>
      <c r="AE12" s="32"/>
      <c r="AF12" s="31" t="str">
        <f>IF(AF$19="","","(Calc)")</f>
        <v/>
      </c>
      <c r="AG12" s="32"/>
      <c r="AH12" s="31" t="str">
        <f>IF(AH$19="","","(Calc)")</f>
        <v/>
      </c>
      <c r="AI12" s="32"/>
      <c r="AJ12" s="31" t="str">
        <f>IF(AJ$19="","","(Calc)")</f>
        <v/>
      </c>
      <c r="AK12" s="32"/>
      <c r="AL12" s="31" t="str">
        <f>IF(AL$19="","","(Calc)")</f>
        <v/>
      </c>
      <c r="AM12" s="32"/>
      <c r="AN12" s="31" t="str">
        <f>IF(AN$19="","","(Calc)")</f>
        <v/>
      </c>
      <c r="AO12" s="32"/>
      <c r="AP12" s="31" t="str">
        <f>IF(AP$19="","","(Calc)")</f>
        <v/>
      </c>
      <c r="AQ12" s="32"/>
      <c r="AR12" s="31" t="str">
        <f>IF(AR$19="","","(Calc)")</f>
        <v/>
      </c>
      <c r="AS12" s="32"/>
      <c r="AT12" s="31" t="str">
        <f>IF(AT$19="","","(Calc)")</f>
        <v/>
      </c>
      <c r="AU12" s="32"/>
      <c r="AV12" s="31" t="str">
        <f>IF(AV$19="","","(Calc)")</f>
        <v/>
      </c>
      <c r="AW12" s="32"/>
      <c r="AX12" s="31" t="str">
        <f>IF(AX$19="","","(Calc)")</f>
        <v/>
      </c>
      <c r="AY12" s="32"/>
      <c r="AZ12" s="31" t="str">
        <f>IF(AZ$19="","","(Calc)")</f>
        <v/>
      </c>
      <c r="BA12" s="32"/>
      <c r="BB12" s="31" t="str">
        <f>IF(BB$19="","","(Calc)")</f>
        <v/>
      </c>
      <c r="BC12" s="32"/>
      <c r="BD12" s="31" t="str">
        <f>IF(BD$19="","","(Calc)")</f>
        <v/>
      </c>
      <c r="BE12" s="32"/>
      <c r="BF12" s="31" t="str">
        <f>IF(BF$19="","","(Calc)")</f>
        <v/>
      </c>
      <c r="BG12" s="32"/>
      <c r="BH12" s="31" t="str">
        <f>IF(BH$19="","","(Calc)")</f>
        <v/>
      </c>
      <c r="BI12" s="32"/>
    </row>
    <row r="13" spans="1:61" ht="15.75" customHeight="1" x14ac:dyDescent="0.25">
      <c r="A13" s="51"/>
      <c r="B13" s="33" t="str">
        <f>IF(B$19="","","(Calc+Strip+Demux)")</f>
        <v>(Calc+Strip+Demux)</v>
      </c>
      <c r="C13" s="34"/>
      <c r="D13" s="33" t="str">
        <f>IF(D$19="","","(Calc+Strip+Demux)")</f>
        <v>(Calc+Strip+Demux)</v>
      </c>
      <c r="E13" s="34"/>
      <c r="F13" s="33" t="str">
        <f>IF(F$19="","","(Calc+Strip+Demux)")</f>
        <v>(Calc+Strip+Demux)</v>
      </c>
      <c r="G13" s="34"/>
      <c r="H13" s="33" t="str">
        <f>IF(H$19="","","(Calc+Strip+Demux)")</f>
        <v>(Calc+Strip+Demux)</v>
      </c>
      <c r="I13" s="34"/>
      <c r="J13" s="33" t="str">
        <f>IF(J$19="","","(Calc+Strip+Demux)")</f>
        <v/>
      </c>
      <c r="K13" s="34"/>
      <c r="L13" s="33" t="str">
        <f>IF(L$19="","","(Calc+Strip+Demux)")</f>
        <v/>
      </c>
      <c r="M13" s="34"/>
      <c r="N13" s="33" t="str">
        <f>IF(N$19="","","(Calc+Strip+Demux)")</f>
        <v/>
      </c>
      <c r="O13" s="34"/>
      <c r="P13" s="33" t="str">
        <f>IF(P$19="","","(Calc+Strip+Demux)")</f>
        <v/>
      </c>
      <c r="Q13" s="34"/>
      <c r="R13" s="33" t="str">
        <f>IF(R$19="","","(Calc+Strip+Demux)")</f>
        <v/>
      </c>
      <c r="S13" s="34"/>
      <c r="T13" s="33" t="str">
        <f>IF(T$19="","","(Calc+Strip+Demux)")</f>
        <v/>
      </c>
      <c r="U13" s="34"/>
      <c r="V13" s="33" t="str">
        <f>IF(V$19="","","(Calc+Strip+Demux)")</f>
        <v/>
      </c>
      <c r="W13" s="34"/>
      <c r="X13" s="33" t="str">
        <f>IF(X$19="","","(Calc+Strip+Demux)")</f>
        <v/>
      </c>
      <c r="Y13" s="34"/>
      <c r="Z13" s="33" t="str">
        <f>IF(Z$19="","","(Calc+Strip+Demux)")</f>
        <v/>
      </c>
      <c r="AA13" s="34"/>
      <c r="AB13" s="33" t="str">
        <f>IF(AB$19="","","(Calc+Strip+Demux)")</f>
        <v/>
      </c>
      <c r="AC13" s="34"/>
      <c r="AD13" s="33" t="str">
        <f>IF(AD$19="","","(Calc+Strip+Demux)")</f>
        <v/>
      </c>
      <c r="AE13" s="34"/>
      <c r="AF13" s="33" t="str">
        <f>IF(AF$19="","","(Calc+Strip+Demux)")</f>
        <v/>
      </c>
      <c r="AG13" s="34"/>
      <c r="AH13" s="33" t="str">
        <f>IF(AH$19="","","(Calc+Strip+Demux)")</f>
        <v/>
      </c>
      <c r="AI13" s="34"/>
      <c r="AJ13" s="33" t="str">
        <f>IF(AJ$19="","","(Calc+Strip+Demux)")</f>
        <v/>
      </c>
      <c r="AK13" s="34"/>
      <c r="AL13" s="33" t="str">
        <f>IF(AL$19="","","(Calc+Strip+Demux)")</f>
        <v/>
      </c>
      <c r="AM13" s="34"/>
      <c r="AN13" s="33" t="str">
        <f>IF(AN$19="","","(Calc+Strip+Demux)")</f>
        <v/>
      </c>
      <c r="AO13" s="34"/>
      <c r="AP13" s="33" t="str">
        <f>IF(AP$19="","","(Calc+Strip+Demux)")</f>
        <v/>
      </c>
      <c r="AQ13" s="34"/>
      <c r="AR13" s="33" t="str">
        <f>IF(AR$19="","","(Calc+Strip+Demux)")</f>
        <v/>
      </c>
      <c r="AS13" s="34"/>
      <c r="AT13" s="33" t="str">
        <f>IF(AT$19="","","(Calc+Strip+Demux)")</f>
        <v/>
      </c>
      <c r="AU13" s="34"/>
      <c r="AV13" s="33" t="str">
        <f>IF(AV$19="","","(Calc+Strip+Demux)")</f>
        <v/>
      </c>
      <c r="AW13" s="34"/>
      <c r="AX13" s="33" t="str">
        <f>IF(AX$19="","","(Calc+Strip+Demux)")</f>
        <v/>
      </c>
      <c r="AY13" s="34"/>
      <c r="AZ13" s="33" t="str">
        <f>IF(AZ$19="","","(Calc+Strip+Demux)")</f>
        <v/>
      </c>
      <c r="BA13" s="34"/>
      <c r="BB13" s="33" t="str">
        <f>IF(BB$19="","","(Calc+Strip+Demux)")</f>
        <v/>
      </c>
      <c r="BC13" s="34"/>
      <c r="BD13" s="33" t="str">
        <f>IF(BD$19="","","(Calc+Strip+Demux)")</f>
        <v/>
      </c>
      <c r="BE13" s="34"/>
      <c r="BF13" s="33" t="str">
        <f>IF(BF$19="","","(Calc+Strip+Demux)")</f>
        <v/>
      </c>
      <c r="BG13" s="34"/>
      <c r="BH13" s="33" t="str">
        <f>IF(BH$19="","","(Calc+Strip+Demux)")</f>
        <v/>
      </c>
      <c r="BI13" s="34"/>
    </row>
    <row r="14" spans="1:61" ht="15.75" customHeight="1" x14ac:dyDescent="0.25">
      <c r="A14" s="51"/>
      <c r="B14" s="33" t="str">
        <f>IF(B$19="","","(Strip+Demux)")</f>
        <v>(Strip+Demux)</v>
      </c>
      <c r="C14" s="34"/>
      <c r="D14" s="33" t="str">
        <f>IF(D$19="","","(Strip+Demux)")</f>
        <v>(Strip+Demux)</v>
      </c>
      <c r="E14" s="34"/>
      <c r="F14" s="33" t="str">
        <f>IF(F$19="","","(Strip+Demux)")</f>
        <v>(Strip+Demux)</v>
      </c>
      <c r="G14" s="34"/>
      <c r="H14" s="33" t="str">
        <f>IF(H$19="","","(Strip+Demux)")</f>
        <v>(Strip+Demux)</v>
      </c>
      <c r="I14" s="34"/>
      <c r="J14" s="33" t="str">
        <f>IF(J$19="","","(Strip+Demux)")</f>
        <v/>
      </c>
      <c r="K14" s="34"/>
      <c r="L14" s="33" t="str">
        <f>IF(L$19="","","(Strip+Demux)")</f>
        <v/>
      </c>
      <c r="M14" s="34"/>
      <c r="N14" s="33" t="str">
        <f>IF(N$19="","","(Strip+Demux)")</f>
        <v/>
      </c>
      <c r="O14" s="34"/>
      <c r="P14" s="33" t="str">
        <f>IF(P$19="","","(Strip+Demux)")</f>
        <v/>
      </c>
      <c r="Q14" s="34"/>
      <c r="R14" s="33" t="str">
        <f>IF(R$19="","","(Strip+Demux)")</f>
        <v/>
      </c>
      <c r="S14" s="34"/>
      <c r="T14" s="33" t="str">
        <f>IF(T$19="","","(Strip+Demux)")</f>
        <v/>
      </c>
      <c r="U14" s="34"/>
      <c r="V14" s="33" t="str">
        <f>IF(V$19="","","(Strip+Demux)")</f>
        <v/>
      </c>
      <c r="W14" s="34"/>
      <c r="X14" s="33" t="str">
        <f>IF(X$19="","","(Strip+Demux)")</f>
        <v/>
      </c>
      <c r="Y14" s="34"/>
      <c r="Z14" s="33" t="str">
        <f>IF(Z$19="","","(Strip+Demux)")</f>
        <v/>
      </c>
      <c r="AA14" s="34"/>
      <c r="AB14" s="33" t="str">
        <f>IF(AB$19="","","(Strip+Demux)")</f>
        <v/>
      </c>
      <c r="AC14" s="34"/>
      <c r="AD14" s="33" t="str">
        <f>IF(AD$19="","","(Strip+Demux)")</f>
        <v/>
      </c>
      <c r="AE14" s="34"/>
      <c r="AF14" s="33" t="str">
        <f>IF(AF$19="","","(Strip+Demux)")</f>
        <v/>
      </c>
      <c r="AG14" s="34"/>
      <c r="AH14" s="33" t="str">
        <f>IF(AH$19="","","(Strip+Demux)")</f>
        <v/>
      </c>
      <c r="AI14" s="34"/>
      <c r="AJ14" s="33" t="str">
        <f>IF(AJ$19="","","(Strip+Demux)")</f>
        <v/>
      </c>
      <c r="AK14" s="34"/>
      <c r="AL14" s="33" t="str">
        <f>IF(AL$19="","","(Strip+Demux)")</f>
        <v/>
      </c>
      <c r="AM14" s="34"/>
      <c r="AN14" s="33" t="str">
        <f>IF(AN$19="","","(Strip+Demux)")</f>
        <v/>
      </c>
      <c r="AO14" s="34"/>
      <c r="AP14" s="33" t="str">
        <f>IF(AP$19="","","(Strip+Demux)")</f>
        <v/>
      </c>
      <c r="AQ14" s="34"/>
      <c r="AR14" s="33" t="str">
        <f>IF(AR$19="","","(Strip+Demux)")</f>
        <v/>
      </c>
      <c r="AS14" s="34"/>
      <c r="AT14" s="33" t="str">
        <f>IF(AT$19="","","(Strip+Demux)")</f>
        <v/>
      </c>
      <c r="AU14" s="34"/>
      <c r="AV14" s="33" t="str">
        <f>IF(AV$19="","","(Strip+Demux)")</f>
        <v/>
      </c>
      <c r="AW14" s="34"/>
      <c r="AX14" s="33" t="str">
        <f>IF(AX$19="","","(Strip+Demux)")</f>
        <v/>
      </c>
      <c r="AY14" s="34"/>
      <c r="AZ14" s="33" t="str">
        <f>IF(AZ$19="","","(Strip+Demux)")</f>
        <v/>
      </c>
      <c r="BA14" s="34"/>
      <c r="BB14" s="33" t="str">
        <f>IF(BB$19="","","(Strip+Demux)")</f>
        <v/>
      </c>
      <c r="BC14" s="34"/>
      <c r="BD14" s="33" t="str">
        <f>IF(BD$19="","","(Strip+Demux)")</f>
        <v/>
      </c>
      <c r="BE14" s="34"/>
      <c r="BF14" s="33" t="str">
        <f>IF(BF$19="","","(Strip+Demux)")</f>
        <v/>
      </c>
      <c r="BG14" s="34"/>
      <c r="BH14" s="33" t="str">
        <f>IF(BH$19="","","(Strip+Demux)")</f>
        <v/>
      </c>
      <c r="BI14" s="34"/>
    </row>
    <row r="15" spans="1:61" ht="15.75" customHeight="1" x14ac:dyDescent="0.25">
      <c r="A15" s="51"/>
      <c r="B15" s="33" t="str">
        <f>IF(B$19="","","(Post)")</f>
        <v>(Post)</v>
      </c>
      <c r="C15" s="34"/>
      <c r="D15" s="33" t="str">
        <f>IF(D$19="","","(Post)")</f>
        <v>(Post)</v>
      </c>
      <c r="E15" s="34"/>
      <c r="F15" s="33" t="str">
        <f>IF(F$19="","","(Post)")</f>
        <v>(Post)</v>
      </c>
      <c r="G15" s="34"/>
      <c r="H15" s="33" t="str">
        <f>IF(H$19="","","(Post)")</f>
        <v>(Post)</v>
      </c>
      <c r="I15" s="34"/>
      <c r="J15" s="33" t="str">
        <f>IF(J$19="","","(Post)")</f>
        <v/>
      </c>
      <c r="K15" s="34"/>
      <c r="L15" s="33" t="str">
        <f>IF(L$19="","","(Post)")</f>
        <v/>
      </c>
      <c r="M15" s="34"/>
      <c r="N15" s="33" t="str">
        <f>IF(N$19="","","(Post)")</f>
        <v/>
      </c>
      <c r="O15" s="34"/>
      <c r="P15" s="33" t="str">
        <f>IF(P$19="","","(Post)")</f>
        <v/>
      </c>
      <c r="Q15" s="34"/>
      <c r="R15" s="33" t="str">
        <f>IF(R$19="","","(Post)")</f>
        <v/>
      </c>
      <c r="S15" s="34"/>
      <c r="T15" s="33" t="str">
        <f>IF(T$19="","","(Post)")</f>
        <v/>
      </c>
      <c r="U15" s="34"/>
      <c r="V15" s="33" t="str">
        <f>IF(V$19="","","(Post)")</f>
        <v/>
      </c>
      <c r="W15" s="34"/>
      <c r="X15" s="33" t="str">
        <f>IF(X$19="","","(Post)")</f>
        <v/>
      </c>
      <c r="Y15" s="34"/>
      <c r="Z15" s="33" t="str">
        <f>IF(Z$19="","","(Post)")</f>
        <v/>
      </c>
      <c r="AA15" s="34"/>
      <c r="AB15" s="33" t="str">
        <f>IF(AB$19="","","(Post)")</f>
        <v/>
      </c>
      <c r="AC15" s="34"/>
      <c r="AD15" s="33" t="str">
        <f>IF(AD$19="","","(Post)")</f>
        <v/>
      </c>
      <c r="AE15" s="34"/>
      <c r="AF15" s="33" t="str">
        <f>IF(AF$19="","","(Post)")</f>
        <v/>
      </c>
      <c r="AG15" s="34"/>
      <c r="AH15" s="33" t="str">
        <f>IF(AH$19="","","(Post)")</f>
        <v/>
      </c>
      <c r="AI15" s="34"/>
      <c r="AJ15" s="33" t="str">
        <f>IF(AJ$19="","","(Post)")</f>
        <v/>
      </c>
      <c r="AK15" s="34"/>
      <c r="AL15" s="33" t="str">
        <f>IF(AL$19="","","(Post)")</f>
        <v/>
      </c>
      <c r="AM15" s="34"/>
      <c r="AN15" s="33" t="str">
        <f>IF(AN$19="","","(Post)")</f>
        <v/>
      </c>
      <c r="AO15" s="34"/>
      <c r="AP15" s="33" t="str">
        <f>IF(AP$19="","","(Post)")</f>
        <v/>
      </c>
      <c r="AQ15" s="34"/>
      <c r="AR15" s="33" t="str">
        <f>IF(AR$19="","","(Post)")</f>
        <v/>
      </c>
      <c r="AS15" s="34"/>
      <c r="AT15" s="33" t="str">
        <f>IF(AT$19="","","(Post)")</f>
        <v/>
      </c>
      <c r="AU15" s="34"/>
      <c r="AV15" s="33" t="str">
        <f>IF(AV$19="","","(Post)")</f>
        <v/>
      </c>
      <c r="AW15" s="34"/>
      <c r="AX15" s="33" t="str">
        <f>IF(AX$19="","","(Post)")</f>
        <v/>
      </c>
      <c r="AY15" s="34"/>
      <c r="AZ15" s="33" t="str">
        <f>IF(AZ$19="","","(Post)")</f>
        <v/>
      </c>
      <c r="BA15" s="34"/>
      <c r="BB15" s="33" t="str">
        <f>IF(BB$19="","","(Post)")</f>
        <v/>
      </c>
      <c r="BC15" s="34"/>
      <c r="BD15" s="33" t="str">
        <f>IF(BD$19="","","(Post)")</f>
        <v/>
      </c>
      <c r="BE15" s="34"/>
      <c r="BF15" s="33" t="str">
        <f>IF(BF$19="","","(Post)")</f>
        <v/>
      </c>
      <c r="BG15" s="34"/>
      <c r="BH15" s="33" t="str">
        <f>IF(BH$19="","","(Post)")</f>
        <v/>
      </c>
      <c r="BI15" s="34"/>
    </row>
    <row r="16" spans="1:61" x14ac:dyDescent="0.25">
      <c r="A16" s="51"/>
      <c r="B16" s="33" t="str">
        <f>IF(B$19="","","(Calc+Post)")</f>
        <v>(Calc+Post)</v>
      </c>
      <c r="C16" s="34"/>
      <c r="D16" s="33" t="str">
        <f>IF(D$19="","","(Calc+Post)")</f>
        <v>(Calc+Post)</v>
      </c>
      <c r="E16" s="34"/>
      <c r="F16" s="33" t="str">
        <f>IF(F$19="","","(Calc+Post)")</f>
        <v>(Calc+Post)</v>
      </c>
      <c r="G16" s="34"/>
      <c r="H16" s="33" t="str">
        <f>IF(H$19="","","(Calc+Post)")</f>
        <v>(Calc+Post)</v>
      </c>
      <c r="I16" s="34"/>
      <c r="J16" s="33" t="str">
        <f>IF(J$19="","","(Calc+Post)")</f>
        <v/>
      </c>
      <c r="K16" s="34"/>
      <c r="L16" s="33" t="str">
        <f>IF(L$19="","","(Calc+Post)")</f>
        <v/>
      </c>
      <c r="M16" s="34"/>
      <c r="N16" s="33" t="str">
        <f>IF(N$19="","","(Calc+Post)")</f>
        <v/>
      </c>
      <c r="O16" s="34"/>
      <c r="P16" s="33" t="str">
        <f>IF(P$19="","","(Calc+Post)")</f>
        <v/>
      </c>
      <c r="Q16" s="34"/>
      <c r="R16" s="33" t="str">
        <f>IF(R$19="","","(Calc+Post)")</f>
        <v/>
      </c>
      <c r="S16" s="34"/>
      <c r="T16" s="33" t="str">
        <f>IF(T$19="","","(Calc+Post)")</f>
        <v/>
      </c>
      <c r="U16" s="34"/>
      <c r="V16" s="33" t="str">
        <f>IF(V$19="","","(Calc+Post)")</f>
        <v/>
      </c>
      <c r="W16" s="34"/>
      <c r="X16" s="33" t="str">
        <f>IF(X$19="","","(Calc+Post)")</f>
        <v/>
      </c>
      <c r="Y16" s="34"/>
      <c r="Z16" s="33" t="str">
        <f>IF(Z$19="","","(Calc+Post)")</f>
        <v/>
      </c>
      <c r="AA16" s="34"/>
      <c r="AB16" s="33" t="str">
        <f>IF(AB$19="","","(Calc+Post)")</f>
        <v/>
      </c>
      <c r="AC16" s="34"/>
      <c r="AD16" s="33" t="str">
        <f>IF(AD$19="","","(Calc+Post)")</f>
        <v/>
      </c>
      <c r="AE16" s="34"/>
      <c r="AF16" s="33" t="str">
        <f>IF(AF$19="","","(Calc+Post)")</f>
        <v/>
      </c>
      <c r="AG16" s="34"/>
      <c r="AH16" s="33" t="str">
        <f>IF(AH$19="","","(Calc+Post)")</f>
        <v/>
      </c>
      <c r="AI16" s="34"/>
      <c r="AJ16" s="33" t="str">
        <f>IF(AJ$19="","","(Calc+Post)")</f>
        <v/>
      </c>
      <c r="AK16" s="34"/>
      <c r="AL16" s="33" t="str">
        <f>IF(AL$19="","","(Calc+Post)")</f>
        <v/>
      </c>
      <c r="AM16" s="34"/>
      <c r="AN16" s="33" t="str">
        <f>IF(AN$19="","","(Calc+Post)")</f>
        <v/>
      </c>
      <c r="AO16" s="34"/>
      <c r="AP16" s="33" t="str">
        <f>IF(AP$19="","","(Calc+Post)")</f>
        <v/>
      </c>
      <c r="AQ16" s="34"/>
      <c r="AR16" s="33" t="str">
        <f>IF(AR$19="","","(Calc+Post)")</f>
        <v/>
      </c>
      <c r="AS16" s="34"/>
      <c r="AT16" s="33" t="str">
        <f>IF(AT$19="","","(Calc+Post)")</f>
        <v/>
      </c>
      <c r="AU16" s="34"/>
      <c r="AV16" s="33" t="str">
        <f>IF(AV$19="","","(Calc+Post)")</f>
        <v/>
      </c>
      <c r="AW16" s="34"/>
      <c r="AX16" s="33" t="str">
        <f>IF(AX$19="","","(Calc+Post)")</f>
        <v/>
      </c>
      <c r="AY16" s="34"/>
      <c r="AZ16" s="33" t="str">
        <f>IF(AZ$19="","","(Calc+Post)")</f>
        <v/>
      </c>
      <c r="BA16" s="34"/>
      <c r="BB16" s="33" t="str">
        <f>IF(BB$19="","","(Calc+Post)")</f>
        <v/>
      </c>
      <c r="BC16" s="34"/>
      <c r="BD16" s="33" t="str">
        <f>IF(BD$19="","","(Calc+Post)")</f>
        <v/>
      </c>
      <c r="BE16" s="34"/>
      <c r="BF16" s="33" t="str">
        <f>IF(BF$19="","","(Calc+Post)")</f>
        <v/>
      </c>
      <c r="BG16" s="34"/>
      <c r="BH16" s="33" t="str">
        <f>IF(BH$19="","","(Calc+Post)")</f>
        <v/>
      </c>
      <c r="BI16" s="34"/>
    </row>
    <row r="17" spans="1:61" x14ac:dyDescent="0.25">
      <c r="A17" s="52"/>
      <c r="B17" s="35" t="str">
        <f>IF(B$19="","","(ps2pdf)")</f>
        <v>(ps2pdf)</v>
      </c>
      <c r="C17" s="36"/>
      <c r="D17" s="35" t="str">
        <f>IF(D$19="","","(ps2pdf)")</f>
        <v>(ps2pdf)</v>
      </c>
      <c r="E17" s="36"/>
      <c r="F17" s="35" t="str">
        <f>IF(F$19="","","(ps2pdf)")</f>
        <v>(ps2pdf)</v>
      </c>
      <c r="G17" s="36"/>
      <c r="H17" s="35" t="str">
        <f>IF(H$19="","","(ps2pdf)")</f>
        <v>(ps2pdf)</v>
      </c>
      <c r="I17" s="36"/>
      <c r="J17" s="35" t="str">
        <f>IF(J$19="","","(ps2pdf)")</f>
        <v/>
      </c>
      <c r="K17" s="36"/>
      <c r="L17" s="35" t="str">
        <f>IF(L$19="","","(ps2pdf)")</f>
        <v/>
      </c>
      <c r="M17" s="36"/>
      <c r="N17" s="35" t="str">
        <f>IF(N$19="","","(ps2pdf)")</f>
        <v/>
      </c>
      <c r="O17" s="36"/>
      <c r="P17" s="35" t="str">
        <f>IF(P$19="","","(ps2pdf)")</f>
        <v/>
      </c>
      <c r="Q17" s="36"/>
      <c r="R17" s="35" t="str">
        <f>IF(R$19="","","(ps2pdf)")</f>
        <v/>
      </c>
      <c r="S17" s="36"/>
      <c r="T17" s="35" t="str">
        <f>IF(T$19="","","(ps2pdf)")</f>
        <v/>
      </c>
      <c r="U17" s="36"/>
      <c r="V17" s="35" t="str">
        <f>IF(V$19="","","(ps2pdf)")</f>
        <v/>
      </c>
      <c r="W17" s="36"/>
      <c r="X17" s="35" t="str">
        <f>IF(X$19="","","(ps2pdf)")</f>
        <v/>
      </c>
      <c r="Y17" s="36"/>
      <c r="Z17" s="35" t="str">
        <f>IF(Z$19="","","(ps2pdf)")</f>
        <v/>
      </c>
      <c r="AA17" s="36"/>
      <c r="AB17" s="35" t="str">
        <f>IF(AB$19="","","(ps2pdf)")</f>
        <v/>
      </c>
      <c r="AC17" s="36"/>
      <c r="AD17" s="35" t="str">
        <f>IF(AD$19="","","(ps2pdf)")</f>
        <v/>
      </c>
      <c r="AE17" s="36"/>
      <c r="AF17" s="35" t="str">
        <f>IF(AF$19="","","(ps2pdf)")</f>
        <v/>
      </c>
      <c r="AG17" s="36"/>
      <c r="AH17" s="35" t="str">
        <f>IF(AH$19="","","(ps2pdf)")</f>
        <v/>
      </c>
      <c r="AI17" s="36"/>
      <c r="AJ17" s="35" t="str">
        <f>IF(AJ$19="","","(ps2pdf)")</f>
        <v/>
      </c>
      <c r="AK17" s="36"/>
      <c r="AL17" s="35" t="str">
        <f>IF(AL$19="","","(ps2pdf)")</f>
        <v/>
      </c>
      <c r="AM17" s="36"/>
      <c r="AN17" s="35" t="str">
        <f>IF(AN$19="","","(ps2pdf)")</f>
        <v/>
      </c>
      <c r="AO17" s="36"/>
      <c r="AP17" s="35" t="str">
        <f>IF(AP$19="","","(ps2pdf)")</f>
        <v/>
      </c>
      <c r="AQ17" s="36"/>
      <c r="AR17" s="35" t="str">
        <f>IF(AR$19="","","(ps2pdf)")</f>
        <v/>
      </c>
      <c r="AS17" s="36"/>
      <c r="AT17" s="35" t="str">
        <f>IF(AT$19="","","(ps2pdf)")</f>
        <v/>
      </c>
      <c r="AU17" s="36"/>
      <c r="AV17" s="35" t="str">
        <f>IF(AV$19="","","(ps2pdf)")</f>
        <v/>
      </c>
      <c r="AW17" s="36"/>
      <c r="AX17" s="35" t="str">
        <f>IF(AX$19="","","(ps2pdf)")</f>
        <v/>
      </c>
      <c r="AY17" s="36"/>
      <c r="AZ17" s="35" t="str">
        <f>IF(AZ$19="","","(ps2pdf)")</f>
        <v/>
      </c>
      <c r="BA17" s="36"/>
      <c r="BB17" s="35" t="str">
        <f>IF(BB$19="","","(ps2pdf)")</f>
        <v/>
      </c>
      <c r="BC17" s="36"/>
      <c r="BD17" s="35" t="str">
        <f>IF(BD$19="","","(ps2pdf)")</f>
        <v/>
      </c>
      <c r="BE17" s="36"/>
      <c r="BF17" s="35" t="str">
        <f>IF(BF$19="","","(ps2pdf)")</f>
        <v/>
      </c>
      <c r="BG17" s="36"/>
      <c r="BH17" s="35" t="str">
        <f>IF(BH$19="","","(ps2pdf)")</f>
        <v/>
      </c>
      <c r="BI17" s="36"/>
    </row>
    <row r="18" spans="1:61" ht="18.75" x14ac:dyDescent="0.3">
      <c r="A18" s="12" t="s">
        <v>0</v>
      </c>
      <c r="B18" s="37">
        <v>1</v>
      </c>
      <c r="C18" s="38"/>
      <c r="D18" s="37">
        <f>B18+1</f>
        <v>2</v>
      </c>
      <c r="E18" s="38"/>
      <c r="F18" s="37">
        <f>D18+1</f>
        <v>3</v>
      </c>
      <c r="G18" s="38"/>
      <c r="H18" s="37">
        <f>F18+1</f>
        <v>4</v>
      </c>
      <c r="I18" s="38"/>
      <c r="J18" s="37">
        <f>H18+1</f>
        <v>5</v>
      </c>
      <c r="K18" s="38"/>
      <c r="L18" s="37">
        <f>J18+1</f>
        <v>6</v>
      </c>
      <c r="M18" s="38"/>
      <c r="N18" s="37">
        <f>L18+1</f>
        <v>7</v>
      </c>
      <c r="O18" s="38"/>
      <c r="P18" s="37">
        <f>N18+1</f>
        <v>8</v>
      </c>
      <c r="Q18" s="38"/>
      <c r="R18" s="37">
        <f>P18+1</f>
        <v>9</v>
      </c>
      <c r="S18" s="38"/>
      <c r="T18" s="37">
        <f>R18+1</f>
        <v>10</v>
      </c>
      <c r="U18" s="38"/>
      <c r="V18" s="37">
        <f>T18+1</f>
        <v>11</v>
      </c>
      <c r="W18" s="38"/>
      <c r="X18" s="37">
        <f>V18+1</f>
        <v>12</v>
      </c>
      <c r="Y18" s="38"/>
      <c r="Z18" s="37">
        <f>X18+1</f>
        <v>13</v>
      </c>
      <c r="AA18" s="38"/>
      <c r="AB18" s="37">
        <f>Z18+1</f>
        <v>14</v>
      </c>
      <c r="AC18" s="38"/>
      <c r="AD18" s="37">
        <f>AB18+1</f>
        <v>15</v>
      </c>
      <c r="AE18" s="38"/>
      <c r="AF18" s="37">
        <f>AD18+1</f>
        <v>16</v>
      </c>
      <c r="AG18" s="38"/>
      <c r="AH18" s="37">
        <f>AF18+1</f>
        <v>17</v>
      </c>
      <c r="AI18" s="38"/>
      <c r="AJ18" s="37">
        <f>AH18+1</f>
        <v>18</v>
      </c>
      <c r="AK18" s="38"/>
      <c r="AL18" s="37">
        <f>AJ18+1</f>
        <v>19</v>
      </c>
      <c r="AM18" s="38"/>
      <c r="AN18" s="37">
        <f>AL18+1</f>
        <v>20</v>
      </c>
      <c r="AO18" s="38"/>
      <c r="AP18" s="37">
        <f>AN18+1</f>
        <v>21</v>
      </c>
      <c r="AQ18" s="38"/>
      <c r="AR18" s="37">
        <f>AP18+1</f>
        <v>22</v>
      </c>
      <c r="AS18" s="38"/>
      <c r="AT18" s="37">
        <f>AR18+1</f>
        <v>23</v>
      </c>
      <c r="AU18" s="38"/>
      <c r="AV18" s="37">
        <f>AT18+1</f>
        <v>24</v>
      </c>
      <c r="AW18" s="38"/>
      <c r="AX18" s="37">
        <f>AV18+1</f>
        <v>25</v>
      </c>
      <c r="AY18" s="38"/>
      <c r="AZ18" s="37">
        <f>AX18+1</f>
        <v>26</v>
      </c>
      <c r="BA18" s="38"/>
      <c r="BB18" s="37">
        <f>AZ18+1</f>
        <v>27</v>
      </c>
      <c r="BC18" s="38"/>
      <c r="BD18" s="37">
        <f>BB18+1</f>
        <v>28</v>
      </c>
      <c r="BE18" s="38"/>
      <c r="BF18" s="37">
        <f>BD18+1</f>
        <v>29</v>
      </c>
      <c r="BG18" s="38"/>
      <c r="BH18" s="37">
        <f>BF18+1</f>
        <v>30</v>
      </c>
      <c r="BI18" s="38"/>
    </row>
    <row r="19" spans="1:61" ht="18.75" x14ac:dyDescent="0.3">
      <c r="A19" s="13" t="s">
        <v>5</v>
      </c>
      <c r="B19" s="39" t="s">
        <v>3</v>
      </c>
      <c r="C19" s="40"/>
      <c r="D19" s="39" t="s">
        <v>40</v>
      </c>
      <c r="E19" s="40"/>
      <c r="F19" s="39" t="s">
        <v>21</v>
      </c>
      <c r="G19" s="40"/>
      <c r="H19" s="39" t="s">
        <v>35</v>
      </c>
      <c r="I19" s="40"/>
      <c r="J19" s="39"/>
      <c r="K19" s="40"/>
      <c r="L19" s="39"/>
      <c r="M19" s="40"/>
      <c r="N19" s="39"/>
      <c r="O19" s="40"/>
      <c r="P19" s="39"/>
      <c r="Q19" s="40"/>
      <c r="R19" s="39"/>
      <c r="S19" s="40"/>
      <c r="T19" s="39"/>
      <c r="U19" s="40"/>
      <c r="V19" s="39"/>
      <c r="W19" s="40"/>
      <c r="X19" s="39"/>
      <c r="Y19" s="40"/>
      <c r="Z19" s="39"/>
      <c r="AA19" s="40"/>
      <c r="AB19" s="39"/>
      <c r="AC19" s="40"/>
      <c r="AD19" s="39"/>
      <c r="AE19" s="40"/>
      <c r="AF19" s="39"/>
      <c r="AG19" s="40"/>
      <c r="AH19" s="39"/>
      <c r="AI19" s="40"/>
      <c r="AJ19" s="39"/>
      <c r="AK19" s="40"/>
      <c r="AL19" s="39"/>
      <c r="AM19" s="40"/>
      <c r="AN19" s="39"/>
      <c r="AO19" s="40"/>
      <c r="AP19" s="39"/>
      <c r="AQ19" s="40"/>
      <c r="AR19" s="39"/>
      <c r="AS19" s="40"/>
      <c r="AT19" s="39"/>
      <c r="AU19" s="40"/>
      <c r="AV19" s="39"/>
      <c r="AW19" s="40"/>
      <c r="AX19" s="39"/>
      <c r="AY19" s="40"/>
      <c r="AZ19" s="39"/>
      <c r="BA19" s="40"/>
      <c r="BB19" s="39"/>
      <c r="BC19" s="40"/>
      <c r="BD19" s="39"/>
      <c r="BE19" s="40"/>
      <c r="BF19" s="39"/>
      <c r="BG19" s="40"/>
      <c r="BH19" s="39"/>
      <c r="BI19" s="40"/>
    </row>
    <row r="20" spans="1:61" ht="18.75" x14ac:dyDescent="0.3">
      <c r="A20" s="13" t="s">
        <v>6</v>
      </c>
      <c r="B20" s="41" t="s">
        <v>41</v>
      </c>
      <c r="C20" s="42"/>
      <c r="D20" s="41" t="s">
        <v>44</v>
      </c>
      <c r="E20" s="42"/>
      <c r="F20" s="41" t="s">
        <v>43</v>
      </c>
      <c r="G20" s="42"/>
      <c r="H20" s="41" t="s">
        <v>42</v>
      </c>
      <c r="I20" s="42"/>
      <c r="J20" s="41"/>
      <c r="K20" s="42"/>
      <c r="L20" s="41"/>
      <c r="M20" s="42"/>
      <c r="N20" s="41"/>
      <c r="O20" s="42"/>
      <c r="P20" s="41"/>
      <c r="Q20" s="42"/>
      <c r="R20" s="41"/>
      <c r="S20" s="42"/>
      <c r="T20" s="41"/>
      <c r="U20" s="42"/>
      <c r="V20" s="41"/>
      <c r="W20" s="42"/>
      <c r="X20" s="41"/>
      <c r="Y20" s="42"/>
      <c r="Z20" s="41"/>
      <c r="AA20" s="42"/>
      <c r="AB20" s="41"/>
      <c r="AC20" s="42"/>
      <c r="AD20" s="41"/>
      <c r="AE20" s="42"/>
      <c r="AF20" s="41"/>
      <c r="AG20" s="42"/>
      <c r="AH20" s="41"/>
      <c r="AI20" s="42"/>
      <c r="AJ20" s="41"/>
      <c r="AK20" s="42"/>
      <c r="AL20" s="41"/>
      <c r="AM20" s="42"/>
      <c r="AN20" s="41"/>
      <c r="AO20" s="42"/>
      <c r="AP20" s="41"/>
      <c r="AQ20" s="42"/>
      <c r="AR20" s="41"/>
      <c r="AS20" s="42"/>
      <c r="AT20" s="41"/>
      <c r="AU20" s="42"/>
      <c r="AV20" s="41"/>
      <c r="AW20" s="42"/>
      <c r="AX20" s="41"/>
      <c r="AY20" s="42"/>
      <c r="AZ20" s="41"/>
      <c r="BA20" s="42"/>
      <c r="BB20" s="41"/>
      <c r="BC20" s="42"/>
      <c r="BD20" s="41"/>
      <c r="BE20" s="42"/>
      <c r="BF20" s="41"/>
      <c r="BG20" s="42"/>
      <c r="BH20" s="41"/>
      <c r="BI20" s="42"/>
    </row>
    <row r="21" spans="1:61" ht="18.75" x14ac:dyDescent="0.3">
      <c r="A21" s="13" t="s">
        <v>1</v>
      </c>
      <c r="B21" s="27">
        <v>10</v>
      </c>
      <c r="C21" s="28"/>
      <c r="D21" s="27">
        <v>10</v>
      </c>
      <c r="E21" s="28"/>
      <c r="F21" s="27">
        <v>10</v>
      </c>
      <c r="G21" s="28"/>
      <c r="H21" s="27">
        <v>10</v>
      </c>
      <c r="I21" s="28"/>
      <c r="J21" s="27"/>
      <c r="K21" s="28"/>
      <c r="L21" s="27"/>
      <c r="M21" s="28"/>
      <c r="N21" s="27"/>
      <c r="O21" s="28"/>
      <c r="P21" s="27"/>
      <c r="Q21" s="28"/>
      <c r="R21" s="27"/>
      <c r="S21" s="28"/>
      <c r="T21" s="27"/>
      <c r="U21" s="28"/>
      <c r="V21" s="27"/>
      <c r="W21" s="28"/>
      <c r="X21" s="27"/>
      <c r="Y21" s="28"/>
      <c r="Z21" s="27"/>
      <c r="AA21" s="28"/>
      <c r="AB21" s="27"/>
      <c r="AC21" s="28"/>
      <c r="AD21" s="27"/>
      <c r="AE21" s="28"/>
      <c r="AF21" s="27"/>
      <c r="AG21" s="28"/>
      <c r="AH21" s="27"/>
      <c r="AI21" s="28"/>
      <c r="AJ21" s="27"/>
      <c r="AK21" s="28"/>
      <c r="AL21" s="27"/>
      <c r="AM21" s="28"/>
      <c r="AN21" s="27"/>
      <c r="AO21" s="28"/>
      <c r="AP21" s="27"/>
      <c r="AQ21" s="28"/>
      <c r="AR21" s="27"/>
      <c r="AS21" s="28"/>
      <c r="AT21" s="27"/>
      <c r="AU21" s="28"/>
      <c r="AV21" s="27"/>
      <c r="AW21" s="28"/>
      <c r="AX21" s="27"/>
      <c r="AY21" s="28"/>
      <c r="AZ21" s="27"/>
      <c r="BA21" s="28"/>
      <c r="BB21" s="27"/>
      <c r="BC21" s="28"/>
      <c r="BD21" s="27"/>
      <c r="BE21" s="28"/>
      <c r="BF21" s="27"/>
      <c r="BG21" s="28"/>
      <c r="BH21" s="27"/>
      <c r="BI21" s="28"/>
    </row>
    <row r="22" spans="1:61" ht="18.75" x14ac:dyDescent="0.3">
      <c r="A22" s="13" t="s">
        <v>2</v>
      </c>
      <c r="B22" s="29">
        <v>16</v>
      </c>
      <c r="C22" s="30"/>
      <c r="D22" s="29">
        <v>16</v>
      </c>
      <c r="E22" s="30"/>
      <c r="F22" s="29">
        <v>16</v>
      </c>
      <c r="G22" s="30"/>
      <c r="H22" s="29">
        <v>16</v>
      </c>
      <c r="I22" s="30"/>
      <c r="J22" s="29"/>
      <c r="K22" s="30"/>
      <c r="L22" s="29"/>
      <c r="M22" s="30"/>
      <c r="N22" s="29"/>
      <c r="O22" s="30"/>
      <c r="P22" s="29"/>
      <c r="Q22" s="30"/>
      <c r="R22" s="29"/>
      <c r="S22" s="30"/>
      <c r="T22" s="29"/>
      <c r="U22" s="30"/>
      <c r="V22" s="29"/>
      <c r="W22" s="30"/>
      <c r="X22" s="29"/>
      <c r="Y22" s="30"/>
      <c r="Z22" s="29"/>
      <c r="AA22" s="30"/>
      <c r="AB22" s="29"/>
      <c r="AC22" s="30"/>
      <c r="AD22" s="29"/>
      <c r="AE22" s="30"/>
      <c r="AF22" s="29"/>
      <c r="AG22" s="30"/>
      <c r="AH22" s="29"/>
      <c r="AI22" s="30"/>
      <c r="AJ22" s="29"/>
      <c r="AK22" s="30"/>
      <c r="AL22" s="29"/>
      <c r="AM22" s="30"/>
      <c r="AN22" s="29"/>
      <c r="AO22" s="30"/>
      <c r="AP22" s="29"/>
      <c r="AQ22" s="30"/>
      <c r="AR22" s="29"/>
      <c r="AS22" s="30"/>
      <c r="AT22" s="29"/>
      <c r="AU22" s="30"/>
      <c r="AV22" s="29"/>
      <c r="AW22" s="30"/>
      <c r="AX22" s="29"/>
      <c r="AY22" s="30"/>
      <c r="AZ22" s="29"/>
      <c r="BA22" s="30"/>
      <c r="BB22" s="29"/>
      <c r="BC22" s="30"/>
      <c r="BD22" s="29"/>
      <c r="BE22" s="30"/>
      <c r="BF22" s="29"/>
      <c r="BG22" s="30"/>
      <c r="BH22" s="29"/>
      <c r="BI22" s="30"/>
    </row>
    <row r="23" spans="1:61" ht="18.75" x14ac:dyDescent="0.3">
      <c r="A23" s="13" t="s">
        <v>15</v>
      </c>
      <c r="B23" s="6" t="str">
        <f>HYPERLINK(changeFileExtension(B$24,"_log.txt"))</f>
        <v>Case1\Case1_log.txt</v>
      </c>
      <c r="C23" s="10" t="s">
        <v>24</v>
      </c>
      <c r="D23" s="6" t="str">
        <f>HYPERLINK(changeFileExtension(D$24,"_log.txt"))</f>
        <v>Case1\Case1_T=100degC_log.txt</v>
      </c>
      <c r="E23" s="10" t="s">
        <v>24</v>
      </c>
      <c r="F23" s="6" t="str">
        <f>HYPERLINK(changeFileExtension(F$24,"_log.txt"))</f>
        <v>Case2\Case2_log.txt</v>
      </c>
      <c r="G23" s="10" t="s">
        <v>24</v>
      </c>
      <c r="H23" s="6" t="str">
        <f>HYPERLINK(changeFileExtension(H$24,"_log.txt"))</f>
        <v>Case3\Case3_log.txt</v>
      </c>
      <c r="I23" s="10" t="s">
        <v>24</v>
      </c>
      <c r="J23" s="6" t="str">
        <f>HYPERLINK(changeFileExtension(J$24,"_log.txt"))</f>
        <v/>
      </c>
      <c r="K23" s="10"/>
      <c r="L23" s="6" t="str">
        <f>HYPERLINK(changeFileExtension(L$24,"_log.txt"))</f>
        <v/>
      </c>
      <c r="M23" s="10"/>
      <c r="N23" s="6" t="str">
        <f>HYPERLINK(changeFileExtension(N$24,"_log.txt"))</f>
        <v/>
      </c>
      <c r="O23" s="10"/>
      <c r="P23" s="6" t="str">
        <f>HYPERLINK(changeFileExtension(P$24,"_log.txt"))</f>
        <v/>
      </c>
      <c r="Q23" s="10"/>
      <c r="R23" s="6" t="str">
        <f>HYPERLINK(changeFileExtension(R$24,"_log.txt"))</f>
        <v/>
      </c>
      <c r="S23" s="10"/>
      <c r="T23" s="6" t="str">
        <f>HYPERLINK(changeFileExtension(T$24,"_log.txt"))</f>
        <v/>
      </c>
      <c r="U23" s="10"/>
      <c r="V23" s="6" t="str">
        <f>HYPERLINK(changeFileExtension(V$24,"_log.txt"))</f>
        <v/>
      </c>
      <c r="W23" s="10"/>
      <c r="X23" s="6" t="str">
        <f>HYPERLINK(changeFileExtension(X$24,"_log.txt"))</f>
        <v/>
      </c>
      <c r="Y23" s="10"/>
      <c r="Z23" s="6" t="str">
        <f>HYPERLINK(changeFileExtension(Z$24,"_log.txt"))</f>
        <v/>
      </c>
      <c r="AA23" s="10"/>
      <c r="AB23" s="6" t="str">
        <f>HYPERLINK(changeFileExtension(AB$24,"_log.txt"))</f>
        <v/>
      </c>
      <c r="AC23" s="10"/>
      <c r="AD23" s="6" t="str">
        <f>HYPERLINK(changeFileExtension(AD$24,"_log.txt"))</f>
        <v/>
      </c>
      <c r="AE23" s="10"/>
      <c r="AF23" s="6" t="str">
        <f>HYPERLINK(changeFileExtension(AF$24,"_log.txt"))</f>
        <v/>
      </c>
      <c r="AG23" s="10"/>
      <c r="AH23" s="6" t="str">
        <f>HYPERLINK(changeFileExtension(AH$24,"_log.txt"))</f>
        <v/>
      </c>
      <c r="AI23" s="10"/>
      <c r="AJ23" s="6" t="str">
        <f>HYPERLINK(changeFileExtension(AJ$24,"_log.txt"))</f>
        <v/>
      </c>
      <c r="AK23" s="10"/>
      <c r="AL23" s="6" t="str">
        <f>HYPERLINK(changeFileExtension(AL$24,"_log.txt"))</f>
        <v/>
      </c>
      <c r="AM23" s="10"/>
      <c r="AN23" s="6" t="str">
        <f>HYPERLINK(changeFileExtension(AN$24,"_log.txt"))</f>
        <v/>
      </c>
      <c r="AO23" s="10"/>
      <c r="AP23" s="6" t="str">
        <f>HYPERLINK(changeFileExtension(AP$24,"_log.txt"))</f>
        <v/>
      </c>
      <c r="AQ23" s="10"/>
      <c r="AR23" s="6" t="str">
        <f>HYPERLINK(changeFileExtension(AR$24,"_log.txt"))</f>
        <v/>
      </c>
      <c r="AS23" s="10"/>
      <c r="AT23" s="6" t="str">
        <f>HYPERLINK(changeFileExtension(AT$24,"_log.txt"))</f>
        <v/>
      </c>
      <c r="AU23" s="10"/>
      <c r="AV23" s="6" t="str">
        <f>HYPERLINK(changeFileExtension(AV$24,"_log.txt"))</f>
        <v/>
      </c>
      <c r="AW23" s="10"/>
      <c r="AX23" s="6" t="str">
        <f>HYPERLINK(changeFileExtension(AX$24,"_log.txt"))</f>
        <v/>
      </c>
      <c r="AY23" s="10"/>
      <c r="AZ23" s="6" t="str">
        <f>HYPERLINK(changeFileExtension(AZ$24,"_log.txt"))</f>
        <v/>
      </c>
      <c r="BA23" s="10"/>
      <c r="BB23" s="6" t="str">
        <f>HYPERLINK(changeFileExtension(BB$24,"_log.txt"))</f>
        <v/>
      </c>
      <c r="BC23" s="10"/>
      <c r="BD23" s="6" t="str">
        <f>HYPERLINK(changeFileExtension(BD$24,"_log.txt"))</f>
        <v/>
      </c>
      <c r="BE23" s="10"/>
      <c r="BF23" s="6" t="str">
        <f>HYPERLINK(changeFileExtension(BF$24,"_log.txt"))</f>
        <v/>
      </c>
      <c r="BG23" s="10"/>
      <c r="BH23" s="6" t="str">
        <f>HYPERLINK(changeFileExtension(BH$24,"_log.txt"))</f>
        <v/>
      </c>
      <c r="BI23" s="10"/>
    </row>
    <row r="24" spans="1:61" ht="18.75" x14ac:dyDescent="0.3">
      <c r="A24" s="13" t="s">
        <v>7</v>
      </c>
      <c r="B24" s="6" t="str">
        <f>IF(B19="","",HYPERLINK(IF(ISERROR(FIND("\",B19)),CONCATENATE(B19,"\",B19,".i"),CONCATENATE(B19,".i"))))</f>
        <v>Case1\Case1.i</v>
      </c>
      <c r="C24" s="11">
        <v>43647.555798611109</v>
      </c>
      <c r="D24" s="6" t="str">
        <f>IF(D19="","",HYPERLINK(IF(ISERROR(FIND("\",D19)),CONCATENATE(D19,"\",D19,".i"),CONCATENATE(D19,".i"))))</f>
        <v>Case1\Case1_T=100degC.i</v>
      </c>
      <c r="E24" s="11">
        <v>43647.555798611109</v>
      </c>
      <c r="F24" s="6" t="str">
        <f>IF(F19="","",HYPERLINK(IF(ISERROR(FIND("\",F19)),CONCATENATE(F19,"\",F19,".i"),CONCATENATE(F19,".i"))))</f>
        <v>Case2\Case2.i</v>
      </c>
      <c r="G24" s="11">
        <v>43647.568495370368</v>
      </c>
      <c r="H24" s="6" t="str">
        <f>IF(H19="","",HYPERLINK(IF(ISERROR(FIND("\",H19)),CONCATENATE(H19,"\",H19,".i"),CONCATENATE(H19,".i"))))</f>
        <v>Case3\Case3.i</v>
      </c>
      <c r="I24" s="11">
        <v>43647.568703703706</v>
      </c>
      <c r="J24" s="6" t="str">
        <f>IF(J19="","",HYPERLINK(IF(ISERROR(FIND("\",J19)),CONCATENATE(J19,"\",J19,".i"),CONCATENATE(J19,".i"))))</f>
        <v/>
      </c>
      <c r="K24" s="11"/>
      <c r="L24" s="6" t="str">
        <f>IF(L19="","",HYPERLINK(IF(ISERROR(FIND("\",L19)),CONCATENATE(L19,"\",L19,".i"),CONCATENATE(L19,".i"))))</f>
        <v/>
      </c>
      <c r="M24" s="11"/>
      <c r="N24" s="6" t="str">
        <f>IF(N19="","",HYPERLINK(IF(ISERROR(FIND("\",N19)),CONCATENATE(N19,"\",N19,".i"),CONCATENATE(N19,".i"))))</f>
        <v/>
      </c>
      <c r="O24" s="11"/>
      <c r="P24" s="6" t="str">
        <f>IF(P19="","",HYPERLINK(IF(ISERROR(FIND("\",P19)),CONCATENATE(P19,"\",P19,".i"),CONCATENATE(P19,".i"))))</f>
        <v/>
      </c>
      <c r="Q24" s="11"/>
      <c r="R24" s="6" t="str">
        <f>IF(R19="","",HYPERLINK(IF(ISERROR(FIND("\",R19)),CONCATENATE(R19,"\",R19,".i"),CONCATENATE(R19,".i"))))</f>
        <v/>
      </c>
      <c r="S24" s="11"/>
      <c r="T24" s="6" t="str">
        <f>IF(T19="","",HYPERLINK(IF(ISERROR(FIND("\",T19)),CONCATENATE(T19,"\",T19,".i"),CONCATENATE(T19,".i"))))</f>
        <v/>
      </c>
      <c r="U24" s="11"/>
      <c r="V24" s="6" t="str">
        <f>IF(V19="","",HYPERLINK(IF(ISERROR(FIND("\",V19)),CONCATENATE(V19,"\",V19,".i"),CONCATENATE(V19,".i"))))</f>
        <v/>
      </c>
      <c r="W24" s="11"/>
      <c r="X24" s="6" t="str">
        <f>IF(X19="","",HYPERLINK(IF(ISERROR(FIND("\",X19)),CONCATENATE(X19,"\",X19,".i"),CONCATENATE(X19,".i"))))</f>
        <v/>
      </c>
      <c r="Y24" s="11"/>
      <c r="Z24" s="6" t="str">
        <f>IF(Z19="","",HYPERLINK(IF(ISERROR(FIND("\",Z19)),CONCATENATE(Z19,"\",Z19,".i"),CONCATENATE(Z19,".i"))))</f>
        <v/>
      </c>
      <c r="AA24" s="11"/>
      <c r="AB24" s="6" t="str">
        <f>IF(AB19="","",HYPERLINK(IF(ISERROR(FIND("\",AB19)),CONCATENATE(AB19,"\",AB19,".i"),CONCATENATE(AB19,".i"))))</f>
        <v/>
      </c>
      <c r="AC24" s="11"/>
      <c r="AD24" s="6" t="str">
        <f>IF(AD19="","",HYPERLINK(IF(ISERROR(FIND("\",AD19)),CONCATENATE(AD19,"\",AD19,".i"),CONCATENATE(AD19,".i"))))</f>
        <v/>
      </c>
      <c r="AE24" s="11"/>
      <c r="AF24" s="6" t="str">
        <f>IF(AF19="","",HYPERLINK(IF(ISERROR(FIND("\",AF19)),CONCATENATE(AF19,"\",AF19,".i"),CONCATENATE(AF19,".i"))))</f>
        <v/>
      </c>
      <c r="AG24" s="11"/>
      <c r="AH24" s="6" t="str">
        <f>IF(AH19="","",HYPERLINK(IF(ISERROR(FIND("\",AH19)),CONCATENATE(AH19,"\",AH19,".i"),CONCATENATE(AH19,".i"))))</f>
        <v/>
      </c>
      <c r="AI24" s="11"/>
      <c r="AJ24" s="6" t="str">
        <f>IF(AJ19="","",HYPERLINK(IF(ISERROR(FIND("\",AJ19)),CONCATENATE(AJ19,"\",AJ19,".i"),CONCATENATE(AJ19,".i"))))</f>
        <v/>
      </c>
      <c r="AK24" s="11"/>
      <c r="AL24" s="6" t="str">
        <f>IF(AL19="","",HYPERLINK(IF(ISERROR(FIND("\",AL19)),CONCATENATE(AL19,"\",AL19,".i"),CONCATENATE(AL19,".i"))))</f>
        <v/>
      </c>
      <c r="AM24" s="11"/>
      <c r="AN24" s="6" t="str">
        <f>IF(AN19="","",HYPERLINK(IF(ISERROR(FIND("\",AN19)),CONCATENATE(AN19,"\",AN19,".i"),CONCATENATE(AN19,".i"))))</f>
        <v/>
      </c>
      <c r="AO24" s="11"/>
      <c r="AP24" s="6" t="str">
        <f>IF(AP19="","",HYPERLINK(IF(ISERROR(FIND("\",AP19)),CONCATENATE(AP19,"\",AP19,".i"),CONCATENATE(AP19,".i"))))</f>
        <v/>
      </c>
      <c r="AQ24" s="11"/>
      <c r="AR24" s="6" t="str">
        <f>IF(AR19="","",HYPERLINK(IF(ISERROR(FIND("\",AR19)),CONCATENATE(AR19,"\",AR19,".i"),CONCATENATE(AR19,".i"))))</f>
        <v/>
      </c>
      <c r="AS24" s="11"/>
      <c r="AT24" s="6" t="str">
        <f>IF(AT19="","",HYPERLINK(IF(ISERROR(FIND("\",AT19)),CONCATENATE(AT19,"\",AT19,".i"),CONCATENATE(AT19,".i"))))</f>
        <v/>
      </c>
      <c r="AU24" s="11"/>
      <c r="AV24" s="6" t="str">
        <f>IF(AV19="","",HYPERLINK(IF(ISERROR(FIND("\",AV19)),CONCATENATE(AV19,"\",AV19,".i"),CONCATENATE(AV19,".i"))))</f>
        <v/>
      </c>
      <c r="AW24" s="11"/>
      <c r="AX24" s="6" t="str">
        <f>IF(AX19="","",HYPERLINK(IF(ISERROR(FIND("\",AX19)),CONCATENATE(AX19,"\",AX19,".i"),CONCATENATE(AX19,".i"))))</f>
        <v/>
      </c>
      <c r="AY24" s="11"/>
      <c r="AZ24" s="6" t="str">
        <f>IF(AZ19="","",HYPERLINK(IF(ISERROR(FIND("\",AZ19)),CONCATENATE(AZ19,"\",AZ19,".i"),CONCATENATE(AZ19,".i"))))</f>
        <v/>
      </c>
      <c r="BA24" s="11"/>
      <c r="BB24" s="6" t="str">
        <f>IF(BB19="","",HYPERLINK(IF(ISERROR(FIND("\",BB19)),CONCATENATE(BB19,"\",BB19,".i"),CONCATENATE(BB19,".i"))))</f>
        <v/>
      </c>
      <c r="BC24" s="11"/>
      <c r="BD24" s="6" t="str">
        <f>IF(BD19="","",HYPERLINK(IF(ISERROR(FIND("\",BD19)),CONCATENATE(BD19,"\",BD19,".i"),CONCATENATE(BD19,".i"))))</f>
        <v/>
      </c>
      <c r="BE24" s="11"/>
      <c r="BF24" s="6" t="str">
        <f>IF(BF19="","",HYPERLINK(IF(ISERROR(FIND("\",BF19)),CONCATENATE(BF19,"\",BF19,".i"),CONCATENATE(BF19,".i"))))</f>
        <v/>
      </c>
      <c r="BG24" s="11"/>
      <c r="BH24" s="6" t="str">
        <f>IF(BH19="","",HYPERLINK(IF(ISERROR(FIND("\",BH19)),CONCATENATE(BH19,"\",BH19,".i"),CONCATENATE(BH19,".i"))))</f>
        <v/>
      </c>
      <c r="BI24" s="11"/>
    </row>
    <row r="25" spans="1:61" ht="18.75" x14ac:dyDescent="0.3">
      <c r="A25" s="13" t="s">
        <v>8</v>
      </c>
      <c r="B25" s="6" t="str">
        <f>HYPERLINK(changeFileExtension(B$24,".o"))</f>
        <v>Case1\Case1.o</v>
      </c>
      <c r="C25" s="11">
        <v>43647.557175925926</v>
      </c>
      <c r="D25" s="6" t="str">
        <f>HYPERLINK(changeFileExtension(D$24,".o"))</f>
        <v>Case1\Case1_T=100degC.o</v>
      </c>
      <c r="E25" s="11">
        <v>43647.560358796298</v>
      </c>
      <c r="F25" s="6" t="str">
        <f>HYPERLINK(changeFileExtension(F$24,".o"))</f>
        <v>Case2\Case2.o</v>
      </c>
      <c r="G25" s="11">
        <v>43647.569976851853</v>
      </c>
      <c r="H25" s="6" t="str">
        <f>HYPERLINK(changeFileExtension(H$24,".o"))</f>
        <v>Case3\Case3.o</v>
      </c>
      <c r="I25" s="11">
        <v>43647.570057870369</v>
      </c>
      <c r="J25" s="6" t="str">
        <f>HYPERLINK(changeFileExtension(J$24,".o"))</f>
        <v/>
      </c>
      <c r="K25" s="11"/>
      <c r="L25" s="6" t="str">
        <f>HYPERLINK(changeFileExtension(L$24,".o"))</f>
        <v/>
      </c>
      <c r="M25" s="11"/>
      <c r="N25" s="6" t="str">
        <f>HYPERLINK(changeFileExtension(N$24,".o"))</f>
        <v/>
      </c>
      <c r="O25" s="11"/>
      <c r="P25" s="6" t="str">
        <f>HYPERLINK(changeFileExtension(P$24,".o"))</f>
        <v/>
      </c>
      <c r="Q25" s="11"/>
      <c r="R25" s="6" t="str">
        <f>HYPERLINK(changeFileExtension(R$24,".o"))</f>
        <v/>
      </c>
      <c r="S25" s="11"/>
      <c r="T25" s="6" t="str">
        <f>HYPERLINK(changeFileExtension(T$24,".o"))</f>
        <v/>
      </c>
      <c r="U25" s="11"/>
      <c r="V25" s="6" t="str">
        <f>HYPERLINK(changeFileExtension(V$24,".o"))</f>
        <v/>
      </c>
      <c r="W25" s="11"/>
      <c r="X25" s="6" t="str">
        <f>HYPERLINK(changeFileExtension(X$24,".o"))</f>
        <v/>
      </c>
      <c r="Y25" s="11"/>
      <c r="Z25" s="6" t="str">
        <f>HYPERLINK(changeFileExtension(Z$24,".o"))</f>
        <v/>
      </c>
      <c r="AA25" s="11"/>
      <c r="AB25" s="6" t="str">
        <f>HYPERLINK(changeFileExtension(AB$24,".o"))</f>
        <v/>
      </c>
      <c r="AC25" s="11"/>
      <c r="AD25" s="6" t="str">
        <f>HYPERLINK(changeFileExtension(AD$24,".o"))</f>
        <v/>
      </c>
      <c r="AE25" s="11"/>
      <c r="AF25" s="6" t="str">
        <f>HYPERLINK(changeFileExtension(AF$24,".o"))</f>
        <v/>
      </c>
      <c r="AG25" s="11"/>
      <c r="AH25" s="6" t="str">
        <f>HYPERLINK(changeFileExtension(AH$24,".o"))</f>
        <v/>
      </c>
      <c r="AI25" s="11"/>
      <c r="AJ25" s="6" t="str">
        <f>HYPERLINK(changeFileExtension(AJ$24,".o"))</f>
        <v/>
      </c>
      <c r="AK25" s="11"/>
      <c r="AL25" s="6" t="str">
        <f>HYPERLINK(changeFileExtension(AL$24,".o"))</f>
        <v/>
      </c>
      <c r="AM25" s="11"/>
      <c r="AN25" s="6" t="str">
        <f>HYPERLINK(changeFileExtension(AN$24,".o"))</f>
        <v/>
      </c>
      <c r="AO25" s="11"/>
      <c r="AP25" s="6" t="str">
        <f>HYPERLINK(changeFileExtension(AP$24,".o"))</f>
        <v/>
      </c>
      <c r="AQ25" s="11"/>
      <c r="AR25" s="6" t="str">
        <f>HYPERLINK(changeFileExtension(AR$24,".o"))</f>
        <v/>
      </c>
      <c r="AS25" s="11"/>
      <c r="AT25" s="6" t="str">
        <f>HYPERLINK(changeFileExtension(AT$24,".o"))</f>
        <v/>
      </c>
      <c r="AU25" s="11"/>
      <c r="AV25" s="6" t="str">
        <f>HYPERLINK(changeFileExtension(AV$24,".o"))</f>
        <v/>
      </c>
      <c r="AW25" s="11"/>
      <c r="AX25" s="6" t="str">
        <f>HYPERLINK(changeFileExtension(AX$24,".o"))</f>
        <v/>
      </c>
      <c r="AY25" s="11"/>
      <c r="AZ25" s="6" t="str">
        <f>HYPERLINK(changeFileExtension(AZ$24,".o"))</f>
        <v/>
      </c>
      <c r="BA25" s="11"/>
      <c r="BB25" s="6" t="str">
        <f>HYPERLINK(changeFileExtension(BB$24,".o"))</f>
        <v/>
      </c>
      <c r="BC25" s="11"/>
      <c r="BD25" s="6" t="str">
        <f>HYPERLINK(changeFileExtension(BD$24,".o"))</f>
        <v/>
      </c>
      <c r="BE25" s="11"/>
      <c r="BF25" s="6" t="str">
        <f>HYPERLINK(changeFileExtension(BF$24,".o"))</f>
        <v/>
      </c>
      <c r="BG25" s="11"/>
      <c r="BH25" s="6" t="str">
        <f>HYPERLINK(changeFileExtension(BH$24,".o"))</f>
        <v/>
      </c>
      <c r="BI25" s="11"/>
    </row>
    <row r="26" spans="1:61" ht="18.75" x14ac:dyDescent="0.3">
      <c r="A26" s="13" t="s">
        <v>9</v>
      </c>
      <c r="B26" s="6" t="str">
        <f>HYPERLINK(changeFileExtension(B$24,".rst"))</f>
        <v>Case1\Case1.rst</v>
      </c>
      <c r="C26" s="11">
        <v>43647.557175925926</v>
      </c>
      <c r="D26" s="6" t="str">
        <f>HYPERLINK(changeFileExtension(D$24,".rst"))</f>
        <v>Case1\Case1_T=100degC.rst</v>
      </c>
      <c r="E26" s="11">
        <v>43647.560358796298</v>
      </c>
      <c r="F26" s="6" t="str">
        <f>HYPERLINK(changeFileExtension(F$24,".rst"))</f>
        <v>Case2\Case2.rst</v>
      </c>
      <c r="G26" s="11">
        <v>43647.569976851853</v>
      </c>
      <c r="H26" s="6" t="str">
        <f>HYPERLINK(changeFileExtension(H$24,".rst"))</f>
        <v>Case3\Case3.rst</v>
      </c>
      <c r="I26" s="11">
        <v>43647.570057870369</v>
      </c>
      <c r="J26" s="6" t="str">
        <f>HYPERLINK(changeFileExtension(J$24,".rst"))</f>
        <v/>
      </c>
      <c r="K26" s="11"/>
      <c r="L26" s="6" t="str">
        <f>HYPERLINK(changeFileExtension(L$24,".rst"))</f>
        <v/>
      </c>
      <c r="M26" s="11"/>
      <c r="N26" s="6" t="str">
        <f>HYPERLINK(changeFileExtension(N$24,".rst"))</f>
        <v/>
      </c>
      <c r="O26" s="11"/>
      <c r="P26" s="6" t="str">
        <f>HYPERLINK(changeFileExtension(P$24,".rst"))</f>
        <v/>
      </c>
      <c r="Q26" s="11"/>
      <c r="R26" s="6" t="str">
        <f>HYPERLINK(changeFileExtension(R$24,".rst"))</f>
        <v/>
      </c>
      <c r="S26" s="11"/>
      <c r="T26" s="6" t="str">
        <f>HYPERLINK(changeFileExtension(T$24,".rst"))</f>
        <v/>
      </c>
      <c r="U26" s="11"/>
      <c r="V26" s="6" t="str">
        <f>HYPERLINK(changeFileExtension(V$24,".rst"))</f>
        <v/>
      </c>
      <c r="W26" s="11"/>
      <c r="X26" s="6" t="str">
        <f>HYPERLINK(changeFileExtension(X$24,".rst"))</f>
        <v/>
      </c>
      <c r="Y26" s="11"/>
      <c r="Z26" s="6" t="str">
        <f>HYPERLINK(changeFileExtension(Z$24,".rst"))</f>
        <v/>
      </c>
      <c r="AA26" s="11"/>
      <c r="AB26" s="6" t="str">
        <f>HYPERLINK(changeFileExtension(AB$24,".rst"))</f>
        <v/>
      </c>
      <c r="AC26" s="11"/>
      <c r="AD26" s="6" t="str">
        <f>HYPERLINK(changeFileExtension(AD$24,".rst"))</f>
        <v/>
      </c>
      <c r="AE26" s="11"/>
      <c r="AF26" s="6" t="str">
        <f>HYPERLINK(changeFileExtension(AF$24,".rst"))</f>
        <v/>
      </c>
      <c r="AG26" s="11"/>
      <c r="AH26" s="6" t="str">
        <f>HYPERLINK(changeFileExtension(AH$24,".rst"))</f>
        <v/>
      </c>
      <c r="AI26" s="11"/>
      <c r="AJ26" s="6" t="str">
        <f>HYPERLINK(changeFileExtension(AJ$24,".rst"))</f>
        <v/>
      </c>
      <c r="AK26" s="11"/>
      <c r="AL26" s="6" t="str">
        <f>HYPERLINK(changeFileExtension(AL$24,".rst"))</f>
        <v/>
      </c>
      <c r="AM26" s="11"/>
      <c r="AN26" s="6" t="str">
        <f>HYPERLINK(changeFileExtension(AN$24,".rst"))</f>
        <v/>
      </c>
      <c r="AO26" s="11"/>
      <c r="AP26" s="6" t="str">
        <f>HYPERLINK(changeFileExtension(AP$24,".rst"))</f>
        <v/>
      </c>
      <c r="AQ26" s="11"/>
      <c r="AR26" s="6" t="str">
        <f>HYPERLINK(changeFileExtension(AR$24,".rst"))</f>
        <v/>
      </c>
      <c r="AS26" s="11"/>
      <c r="AT26" s="6" t="str">
        <f>HYPERLINK(changeFileExtension(AT$24,".rst"))</f>
        <v/>
      </c>
      <c r="AU26" s="11"/>
      <c r="AV26" s="6" t="str">
        <f>HYPERLINK(changeFileExtension(AV$24,".rst"))</f>
        <v/>
      </c>
      <c r="AW26" s="11"/>
      <c r="AX26" s="6" t="str">
        <f>HYPERLINK(changeFileExtension(AX$24,".rst"))</f>
        <v/>
      </c>
      <c r="AY26" s="11"/>
      <c r="AZ26" s="6" t="str">
        <f>HYPERLINK(changeFileExtension(AZ$24,".rst"))</f>
        <v/>
      </c>
      <c r="BA26" s="11"/>
      <c r="BB26" s="6" t="str">
        <f>HYPERLINK(changeFileExtension(BB$24,".rst"))</f>
        <v/>
      </c>
      <c r="BC26" s="11"/>
      <c r="BD26" s="6" t="str">
        <f>HYPERLINK(changeFileExtension(BD$24,".rst"))</f>
        <v/>
      </c>
      <c r="BE26" s="11"/>
      <c r="BF26" s="6" t="str">
        <f>HYPERLINK(changeFileExtension(BF$24,".rst"))</f>
        <v/>
      </c>
      <c r="BG26" s="11"/>
      <c r="BH26" s="6" t="str">
        <f>HYPERLINK(changeFileExtension(BH$24,".rst"))</f>
        <v/>
      </c>
      <c r="BI26" s="11"/>
    </row>
    <row r="27" spans="1:61" ht="18.75" x14ac:dyDescent="0.3">
      <c r="A27" s="13" t="s">
        <v>10</v>
      </c>
      <c r="B27" s="6" t="str">
        <f>HYPERLINK(changeFileExtension(B$24,".dmx"))</f>
        <v>Case1\Case1.dmx</v>
      </c>
      <c r="C27" s="11">
        <v>43647.558865740742</v>
      </c>
      <c r="D27" s="6" t="str">
        <f>HYPERLINK(changeFileExtension(D$24,".dmx"))</f>
        <v>Case1\Case1_T=100degC.dmx</v>
      </c>
      <c r="E27" s="11">
        <v>43647.562025462961</v>
      </c>
      <c r="F27" s="6" t="str">
        <f>HYPERLINK(changeFileExtension(F$24,".dmx"))</f>
        <v>Case2\Case2.dmx</v>
      </c>
      <c r="G27" s="11">
        <v>43647.571620370371</v>
      </c>
      <c r="H27" s="6" t="str">
        <f>HYPERLINK(changeFileExtension(H$24,".dmx"))</f>
        <v>Case3\Case3.dmx</v>
      </c>
      <c r="I27" s="11">
        <v>43647.572638888887</v>
      </c>
      <c r="J27" s="6" t="str">
        <f>HYPERLINK(changeFileExtension(J$24,".dmx"))</f>
        <v/>
      </c>
      <c r="K27" s="11"/>
      <c r="L27" s="6" t="str">
        <f>HYPERLINK(changeFileExtension(L$24,".dmx"))</f>
        <v/>
      </c>
      <c r="M27" s="11"/>
      <c r="N27" s="6" t="str">
        <f>HYPERLINK(changeFileExtension(N$24,".dmx"))</f>
        <v/>
      </c>
      <c r="O27" s="11"/>
      <c r="P27" s="6" t="str">
        <f>HYPERLINK(changeFileExtension(P$24,".dmx"))</f>
        <v/>
      </c>
      <c r="Q27" s="11"/>
      <c r="R27" s="6" t="str">
        <f>HYPERLINK(changeFileExtension(R$24,".dmx"))</f>
        <v/>
      </c>
      <c r="S27" s="11"/>
      <c r="T27" s="6" t="str">
        <f>HYPERLINK(changeFileExtension(T$24,".dmx"))</f>
        <v/>
      </c>
      <c r="U27" s="11"/>
      <c r="V27" s="6" t="str">
        <f>HYPERLINK(changeFileExtension(V$24,".dmx"))</f>
        <v/>
      </c>
      <c r="W27" s="11"/>
      <c r="X27" s="6" t="str">
        <f>HYPERLINK(changeFileExtension(X$24,".dmx"))</f>
        <v/>
      </c>
      <c r="Y27" s="11"/>
      <c r="Z27" s="6" t="str">
        <f>HYPERLINK(changeFileExtension(Z$24,".dmx"))</f>
        <v/>
      </c>
      <c r="AA27" s="11"/>
      <c r="AB27" s="6" t="str">
        <f>HYPERLINK(changeFileExtension(AB$24,".dmx"))</f>
        <v/>
      </c>
      <c r="AC27" s="11"/>
      <c r="AD27" s="6" t="str">
        <f>HYPERLINK(changeFileExtension(AD$24,".dmx"))</f>
        <v/>
      </c>
      <c r="AE27" s="11"/>
      <c r="AF27" s="6" t="str">
        <f>HYPERLINK(changeFileExtension(AF$24,".dmx"))</f>
        <v/>
      </c>
      <c r="AG27" s="11"/>
      <c r="AH27" s="6" t="str">
        <f>HYPERLINK(changeFileExtension(AH$24,".dmx"))</f>
        <v/>
      </c>
      <c r="AI27" s="11"/>
      <c r="AJ27" s="6" t="str">
        <f>HYPERLINK(changeFileExtension(AJ$24,".dmx"))</f>
        <v/>
      </c>
      <c r="AK27" s="11"/>
      <c r="AL27" s="6" t="str">
        <f>HYPERLINK(changeFileExtension(AL$24,".dmx"))</f>
        <v/>
      </c>
      <c r="AM27" s="11"/>
      <c r="AN27" s="6" t="str">
        <f>HYPERLINK(changeFileExtension(AN$24,".dmx"))</f>
        <v/>
      </c>
      <c r="AO27" s="11"/>
      <c r="AP27" s="6" t="str">
        <f>HYPERLINK(changeFileExtension(AP$24,".dmx"))</f>
        <v/>
      </c>
      <c r="AQ27" s="11"/>
      <c r="AR27" s="6" t="str">
        <f>HYPERLINK(changeFileExtension(AR$24,".dmx"))</f>
        <v/>
      </c>
      <c r="AS27" s="11"/>
      <c r="AT27" s="6" t="str">
        <f>HYPERLINK(changeFileExtension(AT$24,".dmx"))</f>
        <v/>
      </c>
      <c r="AU27" s="11"/>
      <c r="AV27" s="6" t="str">
        <f>HYPERLINK(changeFileExtension(AV$24,".dmx"))</f>
        <v/>
      </c>
      <c r="AW27" s="11"/>
      <c r="AX27" s="6" t="str">
        <f>HYPERLINK(changeFileExtension(AX$24,".dmx"))</f>
        <v/>
      </c>
      <c r="AY27" s="11"/>
      <c r="AZ27" s="6" t="str">
        <f>HYPERLINK(changeFileExtension(AZ$24,".dmx"))</f>
        <v/>
      </c>
      <c r="BA27" s="11"/>
      <c r="BB27" s="6" t="str">
        <f>HYPERLINK(changeFileExtension(BB$24,".dmx"))</f>
        <v/>
      </c>
      <c r="BC27" s="11"/>
      <c r="BD27" s="6" t="str">
        <f>HYPERLINK(changeFileExtension(BD$24,".dmx"))</f>
        <v/>
      </c>
      <c r="BE27" s="11"/>
      <c r="BF27" s="6" t="str">
        <f>HYPERLINK(changeFileExtension(BF$24,".dmx"))</f>
        <v/>
      </c>
      <c r="BG27" s="11"/>
      <c r="BH27" s="6" t="str">
        <f>HYPERLINK(changeFileExtension(BH$24,".dmx"))</f>
        <v/>
      </c>
      <c r="BI27" s="11"/>
    </row>
    <row r="28" spans="1:61" ht="18.75" x14ac:dyDescent="0.3">
      <c r="A28" s="13" t="s">
        <v>11</v>
      </c>
      <c r="B28" s="5"/>
      <c r="C28" s="11"/>
      <c r="D28" s="5"/>
      <c r="E28" s="11"/>
      <c r="F28" s="5"/>
      <c r="G28" s="11"/>
      <c r="H28" s="5"/>
      <c r="I28" s="11"/>
      <c r="J28" s="5"/>
      <c r="K28" s="11"/>
      <c r="L28" s="5"/>
      <c r="M28" s="11"/>
      <c r="N28" s="5"/>
      <c r="O28" s="11"/>
      <c r="P28" s="5"/>
      <c r="Q28" s="11"/>
      <c r="R28" s="5"/>
      <c r="S28" s="11"/>
      <c r="T28" s="5"/>
      <c r="U28" s="11"/>
      <c r="V28" s="5"/>
      <c r="W28" s="11"/>
      <c r="X28" s="5"/>
      <c r="Y28" s="11"/>
      <c r="Z28" s="5"/>
      <c r="AA28" s="11"/>
      <c r="AB28" s="5"/>
      <c r="AC28" s="11"/>
      <c r="AD28" s="5"/>
      <c r="AE28" s="11"/>
      <c r="AF28" s="5"/>
      <c r="AG28" s="11"/>
      <c r="AH28" s="5"/>
      <c r="AI28" s="11"/>
      <c r="AJ28" s="5"/>
      <c r="AK28" s="11"/>
      <c r="AL28" s="5"/>
      <c r="AM28" s="11"/>
      <c r="AN28" s="5"/>
      <c r="AO28" s="11"/>
      <c r="AP28" s="5"/>
      <c r="AQ28" s="11"/>
      <c r="AR28" s="5"/>
      <c r="AS28" s="11"/>
      <c r="AT28" s="5"/>
      <c r="AU28" s="11"/>
      <c r="AV28" s="5"/>
      <c r="AW28" s="11"/>
      <c r="AX28" s="5"/>
      <c r="AY28" s="11"/>
      <c r="AZ28" s="5"/>
      <c r="BA28" s="11"/>
      <c r="BB28" s="5"/>
      <c r="BC28" s="11"/>
      <c r="BD28" s="5"/>
      <c r="BE28" s="11"/>
      <c r="BF28" s="5"/>
      <c r="BG28" s="11"/>
      <c r="BH28" s="5"/>
      <c r="BI28" s="11"/>
    </row>
    <row r="29" spans="1:61" ht="18.75" x14ac:dyDescent="0.3">
      <c r="A29" s="13" t="s">
        <v>18</v>
      </c>
      <c r="B29" s="5"/>
      <c r="C29" s="11"/>
      <c r="D29" s="5"/>
      <c r="E29" s="11"/>
      <c r="F29" s="5"/>
      <c r="G29" s="11"/>
      <c r="H29" s="5"/>
      <c r="I29" s="11"/>
      <c r="J29" s="5"/>
      <c r="K29" s="11"/>
      <c r="L29" s="5"/>
      <c r="M29" s="11"/>
      <c r="N29" s="5"/>
      <c r="O29" s="11"/>
      <c r="P29" s="5"/>
      <c r="Q29" s="11"/>
      <c r="R29" s="5"/>
      <c r="S29" s="11"/>
      <c r="T29" s="5"/>
      <c r="U29" s="11"/>
      <c r="V29" s="5"/>
      <c r="W29" s="11"/>
      <c r="X29" s="5"/>
      <c r="Y29" s="11"/>
      <c r="Z29" s="5"/>
      <c r="AA29" s="11"/>
      <c r="AB29" s="5"/>
      <c r="AC29" s="11"/>
      <c r="AD29" s="5"/>
      <c r="AE29" s="11"/>
      <c r="AF29" s="5"/>
      <c r="AG29" s="11"/>
      <c r="AH29" s="5"/>
      <c r="AI29" s="11"/>
      <c r="AJ29" s="5"/>
      <c r="AK29" s="11"/>
      <c r="AL29" s="5"/>
      <c r="AM29" s="11"/>
      <c r="AN29" s="5"/>
      <c r="AO29" s="11"/>
      <c r="AP29" s="5"/>
      <c r="AQ29" s="11"/>
      <c r="AR29" s="5"/>
      <c r="AS29" s="11"/>
      <c r="AT29" s="5"/>
      <c r="AU29" s="11"/>
      <c r="AV29" s="5"/>
      <c r="AW29" s="11"/>
      <c r="AX29" s="5"/>
      <c r="AY29" s="11"/>
      <c r="AZ29" s="5"/>
      <c r="BA29" s="11"/>
      <c r="BB29" s="5"/>
      <c r="BC29" s="11"/>
      <c r="BD29" s="5"/>
      <c r="BE29" s="11"/>
      <c r="BF29" s="5"/>
      <c r="BG29" s="11"/>
      <c r="BH29" s="5"/>
      <c r="BI29" s="11"/>
    </row>
    <row r="30" spans="1:61" ht="18.75" x14ac:dyDescent="0.3">
      <c r="A30" s="13" t="s">
        <v>12</v>
      </c>
      <c r="B30" s="6" t="str">
        <f>HYPERLINK(changeFileExtension(B$24,".str"))</f>
        <v>Case1\Case1.str</v>
      </c>
      <c r="C30" s="11">
        <v>43647.557500000003</v>
      </c>
      <c r="D30" s="6" t="str">
        <f>HYPERLINK(changeFileExtension(D$24,".str"))</f>
        <v>Case1\Case1_T=100degC.str</v>
      </c>
      <c r="E30" s="11">
        <v>43647.560729166667</v>
      </c>
      <c r="F30" s="6" t="str">
        <f>HYPERLINK(changeFileExtension(F$24,".str"))</f>
        <v>Case2\Case2.str</v>
      </c>
      <c r="G30" s="11">
        <v>43647.5702662037</v>
      </c>
      <c r="H30" s="6" t="str">
        <f>HYPERLINK(changeFileExtension(H$24,".str"))</f>
        <v>Case3\Case3.str</v>
      </c>
      <c r="I30" s="11">
        <v>43647.571122685185</v>
      </c>
      <c r="J30" s="6" t="str">
        <f>HYPERLINK(changeFileExtension(J$24,".str"))</f>
        <v/>
      </c>
      <c r="K30" s="11"/>
      <c r="L30" s="6" t="str">
        <f>HYPERLINK(changeFileExtension(L$24,".str"))</f>
        <v/>
      </c>
      <c r="M30" s="11"/>
      <c r="N30" s="6" t="str">
        <f>HYPERLINK(changeFileExtension(N$24,".str"))</f>
        <v/>
      </c>
      <c r="O30" s="11"/>
      <c r="P30" s="6" t="str">
        <f>HYPERLINK(changeFileExtension(P$24,".str"))</f>
        <v/>
      </c>
      <c r="Q30" s="11"/>
      <c r="R30" s="6" t="str">
        <f>HYPERLINK(changeFileExtension(R$24,".str"))</f>
        <v/>
      </c>
      <c r="S30" s="11"/>
      <c r="T30" s="6" t="str">
        <f>HYPERLINK(changeFileExtension(T$24,".str"))</f>
        <v/>
      </c>
      <c r="U30" s="11"/>
      <c r="V30" s="6" t="str">
        <f>HYPERLINK(changeFileExtension(V$24,".str"))</f>
        <v/>
      </c>
      <c r="W30" s="11"/>
      <c r="X30" s="6" t="str">
        <f>HYPERLINK(changeFileExtension(X$24,".str"))</f>
        <v/>
      </c>
      <c r="Y30" s="11"/>
      <c r="Z30" s="6" t="str">
        <f>HYPERLINK(changeFileExtension(Z$24,".str"))</f>
        <v/>
      </c>
      <c r="AA30" s="11"/>
      <c r="AB30" s="6" t="str">
        <f>HYPERLINK(changeFileExtension(AB$24,".str"))</f>
        <v/>
      </c>
      <c r="AC30" s="11"/>
      <c r="AD30" s="6" t="str">
        <f>HYPERLINK(changeFileExtension(AD$24,".str"))</f>
        <v/>
      </c>
      <c r="AE30" s="11"/>
      <c r="AF30" s="6" t="str">
        <f>HYPERLINK(changeFileExtension(AF$24,".str"))</f>
        <v/>
      </c>
      <c r="AG30" s="11"/>
      <c r="AH30" s="6" t="str">
        <f>HYPERLINK(changeFileExtension(AH$24,".str"))</f>
        <v/>
      </c>
      <c r="AI30" s="11"/>
      <c r="AJ30" s="6" t="str">
        <f>HYPERLINK(changeFileExtension(AJ$24,".str"))</f>
        <v/>
      </c>
      <c r="AK30" s="11"/>
      <c r="AL30" s="6" t="str">
        <f>HYPERLINK(changeFileExtension(AL$24,".str"))</f>
        <v/>
      </c>
      <c r="AM30" s="11"/>
      <c r="AN30" s="6" t="str">
        <f>HYPERLINK(changeFileExtension(AN$24,".str"))</f>
        <v/>
      </c>
      <c r="AO30" s="11"/>
      <c r="AP30" s="6" t="str">
        <f>HYPERLINK(changeFileExtension(AP$24,".str"))</f>
        <v/>
      </c>
      <c r="AQ30" s="11"/>
      <c r="AR30" s="6" t="str">
        <f>HYPERLINK(changeFileExtension(AR$24,".str"))</f>
        <v/>
      </c>
      <c r="AS30" s="11"/>
      <c r="AT30" s="6" t="str">
        <f>HYPERLINK(changeFileExtension(AT$24,".str"))</f>
        <v/>
      </c>
      <c r="AU30" s="11"/>
      <c r="AV30" s="6" t="str">
        <f>HYPERLINK(changeFileExtension(AV$24,".str"))</f>
        <v/>
      </c>
      <c r="AW30" s="11"/>
      <c r="AX30" s="6" t="str">
        <f>HYPERLINK(changeFileExtension(AX$24,".str"))</f>
        <v/>
      </c>
      <c r="AY30" s="11"/>
      <c r="AZ30" s="6" t="str">
        <f>HYPERLINK(changeFileExtension(AZ$24,".str"))</f>
        <v/>
      </c>
      <c r="BA30" s="11"/>
      <c r="BB30" s="6" t="str">
        <f>HYPERLINK(changeFileExtension(BB$24,".str"))</f>
        <v/>
      </c>
      <c r="BC30" s="11"/>
      <c r="BD30" s="6" t="str">
        <f>HYPERLINK(changeFileExtension(BD$24,".str"))</f>
        <v/>
      </c>
      <c r="BE30" s="11"/>
      <c r="BF30" s="6" t="str">
        <f>HYPERLINK(changeFileExtension(BF$24,".str"))</f>
        <v/>
      </c>
      <c r="BG30" s="11"/>
      <c r="BH30" s="6" t="str">
        <f>HYPERLINK(changeFileExtension(BH$24,".str"))</f>
        <v/>
      </c>
      <c r="BI30" s="11"/>
    </row>
    <row r="31" spans="1:61" ht="18.75" x14ac:dyDescent="0.3">
      <c r="A31" s="13" t="s">
        <v>13</v>
      </c>
      <c r="B31" s="6" t="str">
        <f>HYPERLINK(changeFileExtension(B$24,".ps"))</f>
        <v>Case1\Case1.ps</v>
      </c>
      <c r="C31" s="11">
        <v>43647.559386574074</v>
      </c>
      <c r="D31" s="6" t="str">
        <f>HYPERLINK(changeFileExtension(D$24,".ps"))</f>
        <v>Case1\Case1_T=100degC.ps</v>
      </c>
      <c r="E31" s="11">
        <v>43647.562557870369</v>
      </c>
      <c r="F31" s="6" t="str">
        <f>HYPERLINK(changeFileExtension(F$24,".ps"))</f>
        <v>Case2\Case2.ps</v>
      </c>
      <c r="G31" s="11">
        <v>43647.572129629632</v>
      </c>
      <c r="H31" s="6" t="str">
        <f>HYPERLINK(changeFileExtension(H$24,".ps"))</f>
        <v>Case3\Case3.ps</v>
      </c>
      <c r="I31" s="11">
        <v>43647.573171296295</v>
      </c>
      <c r="J31" s="6" t="str">
        <f>HYPERLINK(changeFileExtension(J$24,".ps"))</f>
        <v/>
      </c>
      <c r="K31" s="11"/>
      <c r="L31" s="6" t="str">
        <f>HYPERLINK(changeFileExtension(L$24,".ps"))</f>
        <v/>
      </c>
      <c r="M31" s="11"/>
      <c r="N31" s="6" t="str">
        <f>HYPERLINK(changeFileExtension(N$24,".ps"))</f>
        <v/>
      </c>
      <c r="O31" s="11"/>
      <c r="P31" s="6" t="str">
        <f>HYPERLINK(changeFileExtension(P$24,".ps"))</f>
        <v/>
      </c>
      <c r="Q31" s="11"/>
      <c r="R31" s="6" t="str">
        <f>HYPERLINK(changeFileExtension(R$24,".ps"))</f>
        <v/>
      </c>
      <c r="S31" s="11"/>
      <c r="T31" s="6" t="str">
        <f>HYPERLINK(changeFileExtension(T$24,".ps"))</f>
        <v/>
      </c>
      <c r="U31" s="11"/>
      <c r="V31" s="6" t="str">
        <f>HYPERLINK(changeFileExtension(V$24,".ps"))</f>
        <v/>
      </c>
      <c r="W31" s="11"/>
      <c r="X31" s="6" t="str">
        <f>HYPERLINK(changeFileExtension(X$24,".ps"))</f>
        <v/>
      </c>
      <c r="Y31" s="11"/>
      <c r="Z31" s="6" t="str">
        <f>HYPERLINK(changeFileExtension(Z$24,".ps"))</f>
        <v/>
      </c>
      <c r="AA31" s="11"/>
      <c r="AB31" s="6" t="str">
        <f>HYPERLINK(changeFileExtension(AB$24,".ps"))</f>
        <v/>
      </c>
      <c r="AC31" s="11"/>
      <c r="AD31" s="6" t="str">
        <f>HYPERLINK(changeFileExtension(AD$24,".ps"))</f>
        <v/>
      </c>
      <c r="AE31" s="11"/>
      <c r="AF31" s="6" t="str">
        <f>HYPERLINK(changeFileExtension(AF$24,".ps"))</f>
        <v/>
      </c>
      <c r="AG31" s="11"/>
      <c r="AH31" s="6" t="str">
        <f>HYPERLINK(changeFileExtension(AH$24,".ps"))</f>
        <v/>
      </c>
      <c r="AI31" s="11"/>
      <c r="AJ31" s="6" t="str">
        <f>HYPERLINK(changeFileExtension(AJ$24,".ps"))</f>
        <v/>
      </c>
      <c r="AK31" s="11"/>
      <c r="AL31" s="6" t="str">
        <f>HYPERLINK(changeFileExtension(AL$24,".ps"))</f>
        <v/>
      </c>
      <c r="AM31" s="11"/>
      <c r="AN31" s="6" t="str">
        <f>HYPERLINK(changeFileExtension(AN$24,".ps"))</f>
        <v/>
      </c>
      <c r="AO31" s="11"/>
      <c r="AP31" s="6" t="str">
        <f>HYPERLINK(changeFileExtension(AP$24,".ps"))</f>
        <v/>
      </c>
      <c r="AQ31" s="11"/>
      <c r="AR31" s="6" t="str">
        <f>HYPERLINK(changeFileExtension(AR$24,".ps"))</f>
        <v/>
      </c>
      <c r="AS31" s="11"/>
      <c r="AT31" s="6" t="str">
        <f>HYPERLINK(changeFileExtension(AT$24,".ps"))</f>
        <v/>
      </c>
      <c r="AU31" s="11"/>
      <c r="AV31" s="6" t="str">
        <f>HYPERLINK(changeFileExtension(AV$24,".ps"))</f>
        <v/>
      </c>
      <c r="AW31" s="11"/>
      <c r="AX31" s="6" t="str">
        <f>HYPERLINK(changeFileExtension(AX$24,".ps"))</f>
        <v/>
      </c>
      <c r="AY31" s="11"/>
      <c r="AZ31" s="6" t="str">
        <f>HYPERLINK(changeFileExtension(AZ$24,".ps"))</f>
        <v/>
      </c>
      <c r="BA31" s="11"/>
      <c r="BB31" s="6" t="str">
        <f>HYPERLINK(changeFileExtension(BB$24,".ps"))</f>
        <v/>
      </c>
      <c r="BC31" s="11"/>
      <c r="BD31" s="6" t="str">
        <f>HYPERLINK(changeFileExtension(BD$24,".ps"))</f>
        <v/>
      </c>
      <c r="BE31" s="11"/>
      <c r="BF31" s="6" t="str">
        <f>HYPERLINK(changeFileExtension(BF$24,".ps"))</f>
        <v/>
      </c>
      <c r="BG31" s="11"/>
      <c r="BH31" s="6" t="str">
        <f>HYPERLINK(changeFileExtension(BH$24,".ps"))</f>
        <v/>
      </c>
      <c r="BI31" s="11"/>
    </row>
    <row r="32" spans="1:61" ht="18.75" x14ac:dyDescent="0.3">
      <c r="A32" s="14" t="s">
        <v>14</v>
      </c>
      <c r="B32" s="7" t="str">
        <f>HYPERLINK(changeFileExtension(B$24,".pdf"))</f>
        <v>Case1\Case1.pdf</v>
      </c>
      <c r="C32" s="15">
        <v>43647.559814814813</v>
      </c>
      <c r="D32" s="7" t="str">
        <f>HYPERLINK(changeFileExtension(D$24,".pdf"))</f>
        <v>Case1\Case1_T=100degC.pdf</v>
      </c>
      <c r="E32" s="15">
        <v>43647.563692129632</v>
      </c>
      <c r="F32" s="7" t="str">
        <f>HYPERLINK(changeFileExtension(F$24,".pdf"))</f>
        <v>Case2\Case2.pdf</v>
      </c>
      <c r="G32" s="15">
        <v>43647.572800925926</v>
      </c>
      <c r="H32" s="7" t="str">
        <f>HYPERLINK(changeFileExtension(H$24,".pdf"))</f>
        <v>Case3\Case3.pdf</v>
      </c>
      <c r="I32" s="15">
        <v>43647.573310185187</v>
      </c>
      <c r="J32" s="7" t="str">
        <f>HYPERLINK(changeFileExtension(J$24,".pdf"))</f>
        <v/>
      </c>
      <c r="K32" s="15"/>
      <c r="L32" s="7" t="str">
        <f>HYPERLINK(changeFileExtension(L$24,".pdf"))</f>
        <v/>
      </c>
      <c r="M32" s="15"/>
      <c r="N32" s="7" t="str">
        <f>HYPERLINK(changeFileExtension(N$24,".pdf"))</f>
        <v/>
      </c>
      <c r="O32" s="15"/>
      <c r="P32" s="7" t="str">
        <f>HYPERLINK(changeFileExtension(P$24,".pdf"))</f>
        <v/>
      </c>
      <c r="Q32" s="15"/>
      <c r="R32" s="7" t="str">
        <f>HYPERLINK(changeFileExtension(R$24,".pdf"))</f>
        <v/>
      </c>
      <c r="S32" s="15"/>
      <c r="T32" s="7" t="str">
        <f>HYPERLINK(changeFileExtension(T$24,".pdf"))</f>
        <v/>
      </c>
      <c r="U32" s="15"/>
      <c r="V32" s="7" t="str">
        <f>HYPERLINK(changeFileExtension(V$24,".pdf"))</f>
        <v/>
      </c>
      <c r="W32" s="15"/>
      <c r="X32" s="7" t="str">
        <f>HYPERLINK(changeFileExtension(X$24,".pdf"))</f>
        <v/>
      </c>
      <c r="Y32" s="15"/>
      <c r="Z32" s="7" t="str">
        <f>HYPERLINK(changeFileExtension(Z$24,".pdf"))</f>
        <v/>
      </c>
      <c r="AA32" s="15"/>
      <c r="AB32" s="7" t="str">
        <f>HYPERLINK(changeFileExtension(AB$24,".pdf"))</f>
        <v/>
      </c>
      <c r="AC32" s="15"/>
      <c r="AD32" s="7" t="str">
        <f>HYPERLINK(changeFileExtension(AD$24,".pdf"))</f>
        <v/>
      </c>
      <c r="AE32" s="15"/>
      <c r="AF32" s="7" t="str">
        <f>HYPERLINK(changeFileExtension(AF$24,".pdf"))</f>
        <v/>
      </c>
      <c r="AG32" s="15"/>
      <c r="AH32" s="7" t="str">
        <f>HYPERLINK(changeFileExtension(AH$24,".pdf"))</f>
        <v/>
      </c>
      <c r="AI32" s="15"/>
      <c r="AJ32" s="7" t="str">
        <f>HYPERLINK(changeFileExtension(AJ$24,".pdf"))</f>
        <v/>
      </c>
      <c r="AK32" s="15"/>
      <c r="AL32" s="7" t="str">
        <f>HYPERLINK(changeFileExtension(AL$24,".pdf"))</f>
        <v/>
      </c>
      <c r="AM32" s="15"/>
      <c r="AN32" s="7" t="str">
        <f>HYPERLINK(changeFileExtension(AN$24,".pdf"))</f>
        <v/>
      </c>
      <c r="AO32" s="15"/>
      <c r="AP32" s="7" t="str">
        <f>HYPERLINK(changeFileExtension(AP$24,".pdf"))</f>
        <v/>
      </c>
      <c r="AQ32" s="15"/>
      <c r="AR32" s="7" t="str">
        <f>HYPERLINK(changeFileExtension(AR$24,".pdf"))</f>
        <v/>
      </c>
      <c r="AS32" s="15"/>
      <c r="AT32" s="7" t="str">
        <f>HYPERLINK(changeFileExtension(AT$24,".pdf"))</f>
        <v/>
      </c>
      <c r="AU32" s="15"/>
      <c r="AV32" s="7" t="str">
        <f>HYPERLINK(changeFileExtension(AV$24,".pdf"))</f>
        <v/>
      </c>
      <c r="AW32" s="15"/>
      <c r="AX32" s="7" t="str">
        <f>HYPERLINK(changeFileExtension(AX$24,".pdf"))</f>
        <v/>
      </c>
      <c r="AY32" s="15"/>
      <c r="AZ32" s="7" t="str">
        <f>HYPERLINK(changeFileExtension(AZ$24,".pdf"))</f>
        <v/>
      </c>
      <c r="BA32" s="15"/>
      <c r="BB32" s="7" t="str">
        <f>HYPERLINK(changeFileExtension(BB$24,".pdf"))</f>
        <v/>
      </c>
      <c r="BC32" s="15"/>
      <c r="BD32" s="7" t="str">
        <f>HYPERLINK(changeFileExtension(BD$24,".pdf"))</f>
        <v/>
      </c>
      <c r="BE32" s="15"/>
      <c r="BF32" s="7" t="str">
        <f>HYPERLINK(changeFileExtension(BF$24,".pdf"))</f>
        <v/>
      </c>
      <c r="BG32" s="15"/>
      <c r="BH32" s="7" t="str">
        <f>HYPERLINK(changeFileExtension(BH$24,".pdf"))</f>
        <v/>
      </c>
      <c r="BI32" s="15"/>
    </row>
    <row r="35" spans="2:11" x14ac:dyDescent="0.25">
      <c r="B35" s="4"/>
    </row>
    <row r="36" spans="2:11" x14ac:dyDescent="0.25">
      <c r="B36" s="1"/>
    </row>
    <row r="37" spans="2:11" x14ac:dyDescent="0.25">
      <c r="B37" s="1"/>
    </row>
    <row r="38" spans="2:11" x14ac:dyDescent="0.25">
      <c r="B38" s="1"/>
    </row>
    <row r="39" spans="2:11" x14ac:dyDescent="0.25">
      <c r="B39" s="1"/>
      <c r="F39" s="2"/>
      <c r="G39" s="2"/>
      <c r="H39" s="2"/>
    </row>
    <row r="40" spans="2:11" x14ac:dyDescent="0.25">
      <c r="F40" s="2"/>
      <c r="G40" s="2"/>
      <c r="H40" s="2"/>
      <c r="K40" s="9"/>
    </row>
    <row r="41" spans="2:11" x14ac:dyDescent="0.25">
      <c r="B41" s="8"/>
      <c r="F41" s="2"/>
      <c r="G41" s="2"/>
      <c r="H41" s="2"/>
    </row>
    <row r="42" spans="2:11" x14ac:dyDescent="0.25">
      <c r="F42" s="2"/>
      <c r="G42" s="2"/>
      <c r="H42" s="2"/>
      <c r="K42" s="9"/>
    </row>
    <row r="43" spans="2:11" x14ac:dyDescent="0.25">
      <c r="F43" s="2"/>
      <c r="G43" s="2"/>
      <c r="H43" s="2"/>
    </row>
  </sheetData>
  <dataConsolidate/>
  <mergeCells count="341">
    <mergeCell ref="B13:C13"/>
    <mergeCell ref="B14:C14"/>
    <mergeCell ref="B15:C15"/>
    <mergeCell ref="A12:A17"/>
    <mergeCell ref="D13:E13"/>
    <mergeCell ref="D14:E14"/>
    <mergeCell ref="D15:E15"/>
    <mergeCell ref="F13:G13"/>
    <mergeCell ref="F14:G14"/>
    <mergeCell ref="F15:G15"/>
    <mergeCell ref="B12:C12"/>
    <mergeCell ref="B16:C16"/>
    <mergeCell ref="B17:C17"/>
    <mergeCell ref="F12:G12"/>
    <mergeCell ref="F16:G16"/>
    <mergeCell ref="F17:G17"/>
    <mergeCell ref="B18:C18"/>
    <mergeCell ref="B19:C19"/>
    <mergeCell ref="B20:C20"/>
    <mergeCell ref="B21:C21"/>
    <mergeCell ref="B22:C22"/>
    <mergeCell ref="D18:E18"/>
    <mergeCell ref="D19:E19"/>
    <mergeCell ref="D20:E20"/>
    <mergeCell ref="D21:E21"/>
    <mergeCell ref="D22:E22"/>
    <mergeCell ref="F18:G18"/>
    <mergeCell ref="F19:G19"/>
    <mergeCell ref="F20:G20"/>
    <mergeCell ref="F21:G21"/>
    <mergeCell ref="F22:G22"/>
    <mergeCell ref="H18:I18"/>
    <mergeCell ref="H19:I19"/>
    <mergeCell ref="H20:I20"/>
    <mergeCell ref="H21:I21"/>
    <mergeCell ref="H22:I22"/>
    <mergeCell ref="J18:K18"/>
    <mergeCell ref="J19:K19"/>
    <mergeCell ref="J20:K20"/>
    <mergeCell ref="J21:K21"/>
    <mergeCell ref="J22:K22"/>
    <mergeCell ref="L18:M18"/>
    <mergeCell ref="L19:M19"/>
    <mergeCell ref="L20:M20"/>
    <mergeCell ref="L21:M21"/>
    <mergeCell ref="L22:M22"/>
    <mergeCell ref="N19:O19"/>
    <mergeCell ref="N20:O20"/>
    <mergeCell ref="N21:O21"/>
    <mergeCell ref="N22:O22"/>
    <mergeCell ref="P18:Q18"/>
    <mergeCell ref="P19:Q19"/>
    <mergeCell ref="P20:Q20"/>
    <mergeCell ref="P21:Q21"/>
    <mergeCell ref="P22:Q22"/>
    <mergeCell ref="N18:O18"/>
    <mergeCell ref="V18:W18"/>
    <mergeCell ref="V19:W19"/>
    <mergeCell ref="V20:W20"/>
    <mergeCell ref="V21:W21"/>
    <mergeCell ref="V22:W22"/>
    <mergeCell ref="X18:Y18"/>
    <mergeCell ref="X19:Y19"/>
    <mergeCell ref="X20:Y20"/>
    <mergeCell ref="X21:Y21"/>
    <mergeCell ref="X22:Y22"/>
    <mergeCell ref="R18:S18"/>
    <mergeCell ref="R19:S19"/>
    <mergeCell ref="R20:S20"/>
    <mergeCell ref="R21:S21"/>
    <mergeCell ref="R22:S22"/>
    <mergeCell ref="T18:U18"/>
    <mergeCell ref="T19:U19"/>
    <mergeCell ref="T20:U20"/>
    <mergeCell ref="T21:U21"/>
    <mergeCell ref="T22:U22"/>
    <mergeCell ref="H12:I12"/>
    <mergeCell ref="H16:I16"/>
    <mergeCell ref="H17:I17"/>
    <mergeCell ref="D12:E12"/>
    <mergeCell ref="D16:E16"/>
    <mergeCell ref="D17:E17"/>
    <mergeCell ref="H13:I13"/>
    <mergeCell ref="H14:I14"/>
    <mergeCell ref="H15:I15"/>
    <mergeCell ref="N12:O12"/>
    <mergeCell ref="N16:O16"/>
    <mergeCell ref="N17:O17"/>
    <mergeCell ref="P12:Q12"/>
    <mergeCell ref="P16:Q16"/>
    <mergeCell ref="P17:Q17"/>
    <mergeCell ref="J12:K12"/>
    <mergeCell ref="J16:K16"/>
    <mergeCell ref="J17:K17"/>
    <mergeCell ref="L12:M12"/>
    <mergeCell ref="L16:M16"/>
    <mergeCell ref="L17:M17"/>
    <mergeCell ref="J13:K13"/>
    <mergeCell ref="J14:K14"/>
    <mergeCell ref="J15:K15"/>
    <mergeCell ref="L13:M13"/>
    <mergeCell ref="L14:M14"/>
    <mergeCell ref="L15:M15"/>
    <mergeCell ref="N13:O13"/>
    <mergeCell ref="N14:O14"/>
    <mergeCell ref="N15:O15"/>
    <mergeCell ref="P13:Q13"/>
    <mergeCell ref="P14:Q14"/>
    <mergeCell ref="P15:Q15"/>
    <mergeCell ref="V12:W12"/>
    <mergeCell ref="V16:W16"/>
    <mergeCell ref="V17:W17"/>
    <mergeCell ref="X12:Y12"/>
    <mergeCell ref="X16:Y16"/>
    <mergeCell ref="X17:Y17"/>
    <mergeCell ref="R12:S12"/>
    <mergeCell ref="R16:S16"/>
    <mergeCell ref="R17:S17"/>
    <mergeCell ref="T12:U12"/>
    <mergeCell ref="T16:U16"/>
    <mergeCell ref="T17:U17"/>
    <mergeCell ref="R13:S13"/>
    <mergeCell ref="R14:S14"/>
    <mergeCell ref="R15:S15"/>
    <mergeCell ref="T13:U13"/>
    <mergeCell ref="T14:U14"/>
    <mergeCell ref="T15:U15"/>
    <mergeCell ref="V13:W13"/>
    <mergeCell ref="V14:W14"/>
    <mergeCell ref="V15:W15"/>
    <mergeCell ref="X13:Y13"/>
    <mergeCell ref="X14:Y14"/>
    <mergeCell ref="X15:Y15"/>
    <mergeCell ref="F2:K2"/>
    <mergeCell ref="G7:J7"/>
    <mergeCell ref="G8:J8"/>
    <mergeCell ref="G9:J9"/>
    <mergeCell ref="G10:J10"/>
    <mergeCell ref="A8:C8"/>
    <mergeCell ref="G3:J3"/>
    <mergeCell ref="G4:J4"/>
    <mergeCell ref="G5:J5"/>
    <mergeCell ref="G6:J6"/>
    <mergeCell ref="Z21:AA21"/>
    <mergeCell ref="Z22:AA22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AD21:AE21"/>
    <mergeCell ref="AD22:AE22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D12:AE12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AH21:AI21"/>
    <mergeCell ref="AH22:AI22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H12:AI12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L21:AM21"/>
    <mergeCell ref="AL22:AM22"/>
    <mergeCell ref="AN12:AO12"/>
    <mergeCell ref="AN13:AO13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L12:AM12"/>
    <mergeCell ref="AL13:AM13"/>
    <mergeCell ref="AL14:AM14"/>
    <mergeCell ref="AL15:AM15"/>
    <mergeCell ref="AL16:AM16"/>
    <mergeCell ref="AL17:AM17"/>
    <mergeCell ref="AL18:AM18"/>
    <mergeCell ref="AL19:AM19"/>
    <mergeCell ref="AL20:AM20"/>
    <mergeCell ref="AP21:AQ21"/>
    <mergeCell ref="AP22:AQ22"/>
    <mergeCell ref="AR12:AS12"/>
    <mergeCell ref="AR13:AS13"/>
    <mergeCell ref="AR14:AS14"/>
    <mergeCell ref="AR15:AS15"/>
    <mergeCell ref="AR16:AS16"/>
    <mergeCell ref="AR17:AS17"/>
    <mergeCell ref="AR18:AS18"/>
    <mergeCell ref="AR19:AS19"/>
    <mergeCell ref="AR20:AS20"/>
    <mergeCell ref="AR21:AS21"/>
    <mergeCell ref="AR22:AS22"/>
    <mergeCell ref="AP12:AQ12"/>
    <mergeCell ref="AP13:AQ13"/>
    <mergeCell ref="AP14:AQ14"/>
    <mergeCell ref="AP15:AQ15"/>
    <mergeCell ref="AP16:AQ16"/>
    <mergeCell ref="AP17:AQ17"/>
    <mergeCell ref="AP18:AQ18"/>
    <mergeCell ref="AP19:AQ19"/>
    <mergeCell ref="AP20:AQ20"/>
    <mergeCell ref="AT21:AU21"/>
    <mergeCell ref="AT22:AU22"/>
    <mergeCell ref="AV12:AW12"/>
    <mergeCell ref="AV13:AW13"/>
    <mergeCell ref="AV14:AW14"/>
    <mergeCell ref="AV15:AW15"/>
    <mergeCell ref="AV16:AW16"/>
    <mergeCell ref="AV17:AW17"/>
    <mergeCell ref="AV18:AW18"/>
    <mergeCell ref="AV19:AW19"/>
    <mergeCell ref="AV20:AW20"/>
    <mergeCell ref="AV21:AW21"/>
    <mergeCell ref="AV22:AW22"/>
    <mergeCell ref="AT12:AU12"/>
    <mergeCell ref="AT13:AU13"/>
    <mergeCell ref="AT14:AU14"/>
    <mergeCell ref="AT15:AU15"/>
    <mergeCell ref="AT16:AU16"/>
    <mergeCell ref="AT17:AU17"/>
    <mergeCell ref="AT18:AU18"/>
    <mergeCell ref="AT19:AU19"/>
    <mergeCell ref="AT20:AU20"/>
    <mergeCell ref="AX21:AY21"/>
    <mergeCell ref="AX22:AY22"/>
    <mergeCell ref="AZ12:BA12"/>
    <mergeCell ref="AZ13:BA13"/>
    <mergeCell ref="AZ14:BA14"/>
    <mergeCell ref="AZ15:BA15"/>
    <mergeCell ref="AZ16:BA16"/>
    <mergeCell ref="AZ17:BA17"/>
    <mergeCell ref="AZ18:BA18"/>
    <mergeCell ref="AZ19:BA19"/>
    <mergeCell ref="AZ20:BA20"/>
    <mergeCell ref="AZ21:BA21"/>
    <mergeCell ref="AZ22:BA22"/>
    <mergeCell ref="AX12:AY12"/>
    <mergeCell ref="AX13:AY13"/>
    <mergeCell ref="AX14:AY14"/>
    <mergeCell ref="AX15:AY15"/>
    <mergeCell ref="AX16:AY16"/>
    <mergeCell ref="AX17:AY17"/>
    <mergeCell ref="AX18:AY18"/>
    <mergeCell ref="AX19:AY19"/>
    <mergeCell ref="AX20:AY20"/>
    <mergeCell ref="BB21:BC21"/>
    <mergeCell ref="BB22:BC22"/>
    <mergeCell ref="BD12:BE12"/>
    <mergeCell ref="BD13:BE13"/>
    <mergeCell ref="BD14:BE14"/>
    <mergeCell ref="BD15:BE15"/>
    <mergeCell ref="BD16:BE16"/>
    <mergeCell ref="BD17:BE17"/>
    <mergeCell ref="BD18:BE18"/>
    <mergeCell ref="BD19:BE19"/>
    <mergeCell ref="BD20:BE20"/>
    <mergeCell ref="BD21:BE21"/>
    <mergeCell ref="BD22:BE22"/>
    <mergeCell ref="BB12:BC12"/>
    <mergeCell ref="BB13:BC13"/>
    <mergeCell ref="BB14:BC14"/>
    <mergeCell ref="BB15:BC15"/>
    <mergeCell ref="BB16:BC16"/>
    <mergeCell ref="BB17:BC17"/>
    <mergeCell ref="BB18:BC18"/>
    <mergeCell ref="BB19:BC19"/>
    <mergeCell ref="BB20:BC20"/>
    <mergeCell ref="BF21:BG21"/>
    <mergeCell ref="BF22:BG22"/>
    <mergeCell ref="BH12:BI12"/>
    <mergeCell ref="BH13:BI13"/>
    <mergeCell ref="BH14:BI14"/>
    <mergeCell ref="BH15:BI15"/>
    <mergeCell ref="BH16:BI16"/>
    <mergeCell ref="BH17:BI17"/>
    <mergeCell ref="BH18:BI18"/>
    <mergeCell ref="BH19:BI19"/>
    <mergeCell ref="BH20:BI20"/>
    <mergeCell ref="BH21:BI21"/>
    <mergeCell ref="BH22:BI22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</mergeCells>
  <conditionalFormatting sqref="B18:Y32">
    <cfRule type="expression" dxfId="482" priority="481">
      <formula>AND( OR(     (COLUMN()-3)/4=ROUNDDOWN((COLUMN()-3)/4,0), (COLUMN()-2)/4=ROUNDDOWN( (COLUMN()-2)/4,0 )   ), ROW()/2=ROUNDDOWN(ROW()/2,0) )</formula>
    </cfRule>
    <cfRule type="expression" dxfId="481" priority="483" stopIfTrue="1">
      <formula>AND( OR(     (COLUMN()-1)/4=ROUNDDOWN((COLUMN()-1)/4,0), (COLUMN()+0)/4=ROUNDDOWN( (COLUMN()+0)/4,0 )   ), ROW()/2=ROUNDDOWN(ROW()/2,0) )</formula>
    </cfRule>
  </conditionalFormatting>
  <conditionalFormatting sqref="B41">
    <cfRule type="expression" dxfId="480" priority="482" stopIfTrue="1">
      <formula>OR((COLUMN()-1)/4=ROUNDDOWN((COLUMN()-1)/4,0),(COLUMN()+0)/4=ROUNDDOWN((COLUMN()+0)/4,0))</formula>
    </cfRule>
  </conditionalFormatting>
  <conditionalFormatting sqref="C25">
    <cfRule type="expression" dxfId="479" priority="480">
      <formula>C25&lt;C24</formula>
    </cfRule>
  </conditionalFormatting>
  <conditionalFormatting sqref="C26">
    <cfRule type="expression" dxfId="478" priority="479">
      <formula>C26&lt;C24</formula>
    </cfRule>
  </conditionalFormatting>
  <conditionalFormatting sqref="C27">
    <cfRule type="expression" dxfId="477" priority="478">
      <formula>OR(C27&lt;C24,C27&lt;C26)</formula>
    </cfRule>
  </conditionalFormatting>
  <conditionalFormatting sqref="E25">
    <cfRule type="expression" dxfId="476" priority="477">
      <formula>E25&lt;E24</formula>
    </cfRule>
  </conditionalFormatting>
  <conditionalFormatting sqref="E26">
    <cfRule type="expression" dxfId="475" priority="476">
      <formula>E26&lt;E24</formula>
    </cfRule>
  </conditionalFormatting>
  <conditionalFormatting sqref="E27">
    <cfRule type="expression" dxfId="474" priority="475">
      <formula>OR(E27&lt;E24,E27&lt;E26)</formula>
    </cfRule>
  </conditionalFormatting>
  <conditionalFormatting sqref="E25">
    <cfRule type="expression" dxfId="473" priority="474">
      <formula>E25&lt;E24</formula>
    </cfRule>
  </conditionalFormatting>
  <conditionalFormatting sqref="E26">
    <cfRule type="expression" dxfId="472" priority="473">
      <formula>E26&lt;E24</formula>
    </cfRule>
  </conditionalFormatting>
  <conditionalFormatting sqref="E27">
    <cfRule type="expression" dxfId="471" priority="472">
      <formula>OR(E27&lt;E24,E27&lt;E26)</formula>
    </cfRule>
  </conditionalFormatting>
  <conditionalFormatting sqref="G25">
    <cfRule type="expression" dxfId="470" priority="471">
      <formula>G25&lt;G24</formula>
    </cfRule>
  </conditionalFormatting>
  <conditionalFormatting sqref="G26">
    <cfRule type="expression" dxfId="469" priority="470">
      <formula>G26&lt;G24</formula>
    </cfRule>
  </conditionalFormatting>
  <conditionalFormatting sqref="G27">
    <cfRule type="expression" dxfId="468" priority="469">
      <formula>OR(G27&lt;G24,G27&lt;G26)</formula>
    </cfRule>
  </conditionalFormatting>
  <conditionalFormatting sqref="I25">
    <cfRule type="expression" dxfId="467" priority="468">
      <formula>I25&lt;I24</formula>
    </cfRule>
  </conditionalFormatting>
  <conditionalFormatting sqref="I26">
    <cfRule type="expression" dxfId="466" priority="467">
      <formula>I26&lt;I24</formula>
    </cfRule>
  </conditionalFormatting>
  <conditionalFormatting sqref="I27">
    <cfRule type="expression" dxfId="465" priority="466">
      <formula>OR(I27&lt;I24,I27&lt;I26)</formula>
    </cfRule>
  </conditionalFormatting>
  <conditionalFormatting sqref="K25">
    <cfRule type="expression" dxfId="464" priority="465">
      <formula>K25&lt;K24</formula>
    </cfRule>
  </conditionalFormatting>
  <conditionalFormatting sqref="K26">
    <cfRule type="expression" dxfId="463" priority="464">
      <formula>K26&lt;K24</formula>
    </cfRule>
  </conditionalFormatting>
  <conditionalFormatting sqref="K27">
    <cfRule type="expression" dxfId="462" priority="463">
      <formula>OR(K27&lt;K24,K27&lt;K26)</formula>
    </cfRule>
  </conditionalFormatting>
  <conditionalFormatting sqref="M25">
    <cfRule type="expression" dxfId="461" priority="462">
      <formula>M25&lt;M24</formula>
    </cfRule>
  </conditionalFormatting>
  <conditionalFormatting sqref="M26">
    <cfRule type="expression" dxfId="460" priority="461">
      <formula>M26&lt;M24</formula>
    </cfRule>
  </conditionalFormatting>
  <conditionalFormatting sqref="M27">
    <cfRule type="expression" dxfId="459" priority="460">
      <formula>OR(M27&lt;M24,M27&lt;M26)</formula>
    </cfRule>
  </conditionalFormatting>
  <conditionalFormatting sqref="O25">
    <cfRule type="expression" dxfId="458" priority="459">
      <formula>O25&lt;O24</formula>
    </cfRule>
  </conditionalFormatting>
  <conditionalFormatting sqref="O26">
    <cfRule type="expression" dxfId="457" priority="458">
      <formula>O26&lt;O24</formula>
    </cfRule>
  </conditionalFormatting>
  <conditionalFormatting sqref="O27">
    <cfRule type="expression" dxfId="456" priority="457">
      <formula>OR(O27&lt;O24,O27&lt;O26)</formula>
    </cfRule>
  </conditionalFormatting>
  <conditionalFormatting sqref="Q25">
    <cfRule type="expression" dxfId="455" priority="456">
      <formula>Q25&lt;Q24</formula>
    </cfRule>
  </conditionalFormatting>
  <conditionalFormatting sqref="Q26">
    <cfRule type="expression" dxfId="454" priority="455">
      <formula>Q26&lt;Q24</formula>
    </cfRule>
  </conditionalFormatting>
  <conditionalFormatting sqref="Q27">
    <cfRule type="expression" dxfId="453" priority="454">
      <formula>OR(Q27&lt;Q24,Q27&lt;Q26)</formula>
    </cfRule>
  </conditionalFormatting>
  <conditionalFormatting sqref="S25">
    <cfRule type="expression" dxfId="452" priority="453">
      <formula>S25&lt;S24</formula>
    </cfRule>
  </conditionalFormatting>
  <conditionalFormatting sqref="S26">
    <cfRule type="expression" dxfId="451" priority="452">
      <formula>S26&lt;S24</formula>
    </cfRule>
  </conditionalFormatting>
  <conditionalFormatting sqref="S27">
    <cfRule type="expression" dxfId="450" priority="451">
      <formula>OR(S27&lt;S24,S27&lt;S26)</formula>
    </cfRule>
  </conditionalFormatting>
  <conditionalFormatting sqref="U25">
    <cfRule type="expression" dxfId="449" priority="450">
      <formula>U25&lt;U24</formula>
    </cfRule>
  </conditionalFormatting>
  <conditionalFormatting sqref="U26">
    <cfRule type="expression" dxfId="448" priority="449">
      <formula>U26&lt;U24</formula>
    </cfRule>
  </conditionalFormatting>
  <conditionalFormatting sqref="U27">
    <cfRule type="expression" dxfId="447" priority="448">
      <formula>OR(U27&lt;U24,U27&lt;U26)</formula>
    </cfRule>
  </conditionalFormatting>
  <conditionalFormatting sqref="W25">
    <cfRule type="expression" dxfId="446" priority="447">
      <formula>W25&lt;W24</formula>
    </cfRule>
  </conditionalFormatting>
  <conditionalFormatting sqref="W26">
    <cfRule type="expression" dxfId="445" priority="446">
      <formula>W26&lt;W24</formula>
    </cfRule>
  </conditionalFormatting>
  <conditionalFormatting sqref="W27">
    <cfRule type="expression" dxfId="444" priority="445">
      <formula>OR(W27&lt;W24,W27&lt;W26)</formula>
    </cfRule>
  </conditionalFormatting>
  <conditionalFormatting sqref="Y25">
    <cfRule type="expression" dxfId="443" priority="444">
      <formula>Y25&lt;Y24</formula>
    </cfRule>
  </conditionalFormatting>
  <conditionalFormatting sqref="Y26">
    <cfRule type="expression" dxfId="442" priority="443">
      <formula>Y26&lt;Y24</formula>
    </cfRule>
  </conditionalFormatting>
  <conditionalFormatting sqref="Y27">
    <cfRule type="expression" dxfId="441" priority="442">
      <formula>OR(Y27&lt;Y24,Y27&lt;Y26)</formula>
    </cfRule>
  </conditionalFormatting>
  <conditionalFormatting sqref="C30">
    <cfRule type="expression" dxfId="440" priority="441">
      <formula>OR(C30&lt;C24,C30&lt;C26)</formula>
    </cfRule>
  </conditionalFormatting>
  <conditionalFormatting sqref="C31">
    <cfRule type="expression" dxfId="439" priority="440">
      <formula>OR(C31&lt;C24,C31&lt;C26,C31&lt;C30)</formula>
    </cfRule>
  </conditionalFormatting>
  <conditionalFormatting sqref="C32">
    <cfRule type="expression" dxfId="438" priority="439">
      <formula>OR(C32&lt;C24,C32&lt;C26,C32&lt;C30,C32&lt;C31)</formula>
    </cfRule>
  </conditionalFormatting>
  <conditionalFormatting sqref="E25">
    <cfRule type="expression" dxfId="437" priority="438">
      <formula>E25&lt;E24</formula>
    </cfRule>
  </conditionalFormatting>
  <conditionalFormatting sqref="E26">
    <cfRule type="expression" dxfId="436" priority="437">
      <formula>E26&lt;E24</formula>
    </cfRule>
  </conditionalFormatting>
  <conditionalFormatting sqref="E27">
    <cfRule type="expression" dxfId="435" priority="436">
      <formula>OR(E27&lt;E24,E27&lt;E26)</formula>
    </cfRule>
  </conditionalFormatting>
  <conditionalFormatting sqref="E30">
    <cfRule type="expression" dxfId="434" priority="435">
      <formula>OR(E30&lt;E24,E30&lt;E26)</formula>
    </cfRule>
  </conditionalFormatting>
  <conditionalFormatting sqref="E31">
    <cfRule type="expression" dxfId="433" priority="434">
      <formula>OR(E31&lt;E24,E31&lt;E26,E31&lt;E30)</formula>
    </cfRule>
  </conditionalFormatting>
  <conditionalFormatting sqref="E32">
    <cfRule type="expression" dxfId="432" priority="433">
      <formula>OR(E32&lt;E24,E32&lt;E26,E32&lt;E30,E32&lt;E31)</formula>
    </cfRule>
  </conditionalFormatting>
  <conditionalFormatting sqref="G25">
    <cfRule type="expression" dxfId="431" priority="432">
      <formula>G25&lt;G24</formula>
    </cfRule>
  </conditionalFormatting>
  <conditionalFormatting sqref="G26">
    <cfRule type="expression" dxfId="430" priority="431">
      <formula>G26&lt;G24</formula>
    </cfRule>
  </conditionalFormatting>
  <conditionalFormatting sqref="G27">
    <cfRule type="expression" dxfId="429" priority="430">
      <formula>OR(G27&lt;G24,G27&lt;G26)</formula>
    </cfRule>
  </conditionalFormatting>
  <conditionalFormatting sqref="G30">
    <cfRule type="expression" dxfId="428" priority="429">
      <formula>OR(G30&lt;G24,G30&lt;G26)</formula>
    </cfRule>
  </conditionalFormatting>
  <conditionalFormatting sqref="G31">
    <cfRule type="expression" dxfId="427" priority="428">
      <formula>OR(G31&lt;G24,G31&lt;G26,G31&lt;G30)</formula>
    </cfRule>
  </conditionalFormatting>
  <conditionalFormatting sqref="G32">
    <cfRule type="expression" dxfId="426" priority="427">
      <formula>OR(G32&lt;G24,G32&lt;G26,G32&lt;G30,G32&lt;G31)</formula>
    </cfRule>
  </conditionalFormatting>
  <conditionalFormatting sqref="I25">
    <cfRule type="expression" dxfId="425" priority="426">
      <formula>I25&lt;I24</formula>
    </cfRule>
  </conditionalFormatting>
  <conditionalFormatting sqref="I26">
    <cfRule type="expression" dxfId="424" priority="425">
      <formula>I26&lt;I24</formula>
    </cfRule>
  </conditionalFormatting>
  <conditionalFormatting sqref="I27">
    <cfRule type="expression" dxfId="423" priority="424">
      <formula>OR(I27&lt;I24,I27&lt;I26)</formula>
    </cfRule>
  </conditionalFormatting>
  <conditionalFormatting sqref="I30">
    <cfRule type="expression" dxfId="422" priority="423">
      <formula>OR(I30&lt;I24,I30&lt;I26)</formula>
    </cfRule>
  </conditionalFormatting>
  <conditionalFormatting sqref="I31">
    <cfRule type="expression" dxfId="421" priority="422">
      <formula>OR(I31&lt;I24,I31&lt;I26,I31&lt;I30)</formula>
    </cfRule>
  </conditionalFormatting>
  <conditionalFormatting sqref="I32">
    <cfRule type="expression" dxfId="420" priority="421">
      <formula>OR(I32&lt;I24,I32&lt;I26,I32&lt;I30,I32&lt;I31)</formula>
    </cfRule>
  </conditionalFormatting>
  <conditionalFormatting sqref="K25">
    <cfRule type="expression" dxfId="419" priority="420">
      <formula>K25&lt;K24</formula>
    </cfRule>
  </conditionalFormatting>
  <conditionalFormatting sqref="K26">
    <cfRule type="expression" dxfId="418" priority="419">
      <formula>K26&lt;K24</formula>
    </cfRule>
  </conditionalFormatting>
  <conditionalFormatting sqref="K27">
    <cfRule type="expression" dxfId="417" priority="418">
      <formula>OR(K27&lt;K24,K27&lt;K26)</formula>
    </cfRule>
  </conditionalFormatting>
  <conditionalFormatting sqref="K30">
    <cfRule type="expression" dxfId="416" priority="417">
      <formula>OR(K30&lt;K24,K30&lt;K26)</formula>
    </cfRule>
  </conditionalFormatting>
  <conditionalFormatting sqref="K31">
    <cfRule type="expression" dxfId="415" priority="416">
      <formula>OR(K31&lt;K24,K31&lt;K26,K31&lt;K30)</formula>
    </cfRule>
  </conditionalFormatting>
  <conditionalFormatting sqref="K32">
    <cfRule type="expression" dxfId="414" priority="415">
      <formula>OR(K32&lt;K24,K32&lt;K26,K32&lt;K30,K32&lt;K31)</formula>
    </cfRule>
  </conditionalFormatting>
  <conditionalFormatting sqref="M25">
    <cfRule type="expression" dxfId="413" priority="414">
      <formula>M25&lt;M24</formula>
    </cfRule>
  </conditionalFormatting>
  <conditionalFormatting sqref="M26">
    <cfRule type="expression" dxfId="412" priority="413">
      <formula>M26&lt;M24</formula>
    </cfRule>
  </conditionalFormatting>
  <conditionalFormatting sqref="M27">
    <cfRule type="expression" dxfId="411" priority="412">
      <formula>OR(M27&lt;M24,M27&lt;M26)</formula>
    </cfRule>
  </conditionalFormatting>
  <conditionalFormatting sqref="M30">
    <cfRule type="expression" dxfId="410" priority="411">
      <formula>OR(M30&lt;M24,M30&lt;M26)</formula>
    </cfRule>
  </conditionalFormatting>
  <conditionalFormatting sqref="M31">
    <cfRule type="expression" dxfId="409" priority="410">
      <formula>OR(M31&lt;M24,M31&lt;M26,M31&lt;M30)</formula>
    </cfRule>
  </conditionalFormatting>
  <conditionalFormatting sqref="M32">
    <cfRule type="expression" dxfId="408" priority="409">
      <formula>OR(M32&lt;M24,M32&lt;M26,M32&lt;M30,M32&lt;M31)</formula>
    </cfRule>
  </conditionalFormatting>
  <conditionalFormatting sqref="O25">
    <cfRule type="expression" dxfId="407" priority="408">
      <formula>O25&lt;O24</formula>
    </cfRule>
  </conditionalFormatting>
  <conditionalFormatting sqref="O26">
    <cfRule type="expression" dxfId="406" priority="407">
      <formula>O26&lt;O24</formula>
    </cfRule>
  </conditionalFormatting>
  <conditionalFormatting sqref="O27">
    <cfRule type="expression" dxfId="405" priority="406">
      <formula>OR(O27&lt;O24,O27&lt;O26)</formula>
    </cfRule>
  </conditionalFormatting>
  <conditionalFormatting sqref="O30">
    <cfRule type="expression" dxfId="404" priority="405">
      <formula>OR(O30&lt;O24,O30&lt;O26)</formula>
    </cfRule>
  </conditionalFormatting>
  <conditionalFormatting sqref="O31">
    <cfRule type="expression" dxfId="403" priority="404">
      <formula>OR(O31&lt;O24,O31&lt;O26,O31&lt;O30)</formula>
    </cfRule>
  </conditionalFormatting>
  <conditionalFormatting sqref="O32">
    <cfRule type="expression" dxfId="402" priority="403">
      <formula>OR(O32&lt;O24,O32&lt;O26,O32&lt;O30,O32&lt;O31)</formula>
    </cfRule>
  </conditionalFormatting>
  <conditionalFormatting sqref="Q25">
    <cfRule type="expression" dxfId="401" priority="402">
      <formula>Q25&lt;Q24</formula>
    </cfRule>
  </conditionalFormatting>
  <conditionalFormatting sqref="Q26">
    <cfRule type="expression" dxfId="400" priority="401">
      <formula>Q26&lt;Q24</formula>
    </cfRule>
  </conditionalFormatting>
  <conditionalFormatting sqref="Q27">
    <cfRule type="expression" dxfId="399" priority="400">
      <formula>OR(Q27&lt;Q24,Q27&lt;Q26)</formula>
    </cfRule>
  </conditionalFormatting>
  <conditionalFormatting sqref="Q30">
    <cfRule type="expression" dxfId="398" priority="399">
      <formula>OR(Q30&lt;Q24,Q30&lt;Q26)</formula>
    </cfRule>
  </conditionalFormatting>
  <conditionalFormatting sqref="Q31">
    <cfRule type="expression" dxfId="397" priority="398">
      <formula>OR(Q31&lt;Q24,Q31&lt;Q26,Q31&lt;Q30)</formula>
    </cfRule>
  </conditionalFormatting>
  <conditionalFormatting sqref="Q32">
    <cfRule type="expression" dxfId="396" priority="397">
      <formula>OR(Q32&lt;Q24,Q32&lt;Q26,Q32&lt;Q30,Q32&lt;Q31)</formula>
    </cfRule>
  </conditionalFormatting>
  <conditionalFormatting sqref="S25">
    <cfRule type="expression" dxfId="395" priority="396">
      <formula>S25&lt;S24</formula>
    </cfRule>
  </conditionalFormatting>
  <conditionalFormatting sqref="S26">
    <cfRule type="expression" dxfId="394" priority="395">
      <formula>S26&lt;S24</formula>
    </cfRule>
  </conditionalFormatting>
  <conditionalFormatting sqref="S27">
    <cfRule type="expression" dxfId="393" priority="394">
      <formula>OR(S27&lt;S24,S27&lt;S26)</formula>
    </cfRule>
  </conditionalFormatting>
  <conditionalFormatting sqref="S30">
    <cfRule type="expression" dxfId="392" priority="393">
      <formula>OR(S30&lt;S24,S30&lt;S26)</formula>
    </cfRule>
  </conditionalFormatting>
  <conditionalFormatting sqref="S31">
    <cfRule type="expression" dxfId="391" priority="392">
      <formula>OR(S31&lt;S24,S31&lt;S26,S31&lt;S30)</formula>
    </cfRule>
  </conditionalFormatting>
  <conditionalFormatting sqref="S32">
    <cfRule type="expression" dxfId="390" priority="391">
      <formula>OR(S32&lt;S24,S32&lt;S26,S32&lt;S30,S32&lt;S31)</formula>
    </cfRule>
  </conditionalFormatting>
  <conditionalFormatting sqref="U25">
    <cfRule type="expression" dxfId="389" priority="390">
      <formula>U25&lt;U24</formula>
    </cfRule>
  </conditionalFormatting>
  <conditionalFormatting sqref="U26">
    <cfRule type="expression" dxfId="388" priority="389">
      <formula>U26&lt;U24</formula>
    </cfRule>
  </conditionalFormatting>
  <conditionalFormatting sqref="U27">
    <cfRule type="expression" dxfId="387" priority="388">
      <formula>OR(U27&lt;U24,U27&lt;U26)</formula>
    </cfRule>
  </conditionalFormatting>
  <conditionalFormatting sqref="U30">
    <cfRule type="expression" dxfId="386" priority="387">
      <formula>OR(U30&lt;U24,U30&lt;U26)</formula>
    </cfRule>
  </conditionalFormatting>
  <conditionalFormatting sqref="U31">
    <cfRule type="expression" dxfId="385" priority="386">
      <formula>OR(U31&lt;U24,U31&lt;U26,U31&lt;U30)</formula>
    </cfRule>
  </conditionalFormatting>
  <conditionalFormatting sqref="U32">
    <cfRule type="expression" dxfId="384" priority="385">
      <formula>OR(U32&lt;U24,U32&lt;U26,U32&lt;U30,U32&lt;U31)</formula>
    </cfRule>
  </conditionalFormatting>
  <conditionalFormatting sqref="W25">
    <cfRule type="expression" dxfId="383" priority="384">
      <formula>W25&lt;W24</formula>
    </cfRule>
  </conditionalFormatting>
  <conditionalFormatting sqref="W26">
    <cfRule type="expression" dxfId="382" priority="383">
      <formula>W26&lt;W24</formula>
    </cfRule>
  </conditionalFormatting>
  <conditionalFormatting sqref="W27">
    <cfRule type="expression" dxfId="381" priority="382">
      <formula>OR(W27&lt;W24,W27&lt;W26)</formula>
    </cfRule>
  </conditionalFormatting>
  <conditionalFormatting sqref="W30">
    <cfRule type="expression" dxfId="380" priority="381">
      <formula>OR(W30&lt;W24,W30&lt;W26)</formula>
    </cfRule>
  </conditionalFormatting>
  <conditionalFormatting sqref="W31">
    <cfRule type="expression" dxfId="379" priority="380">
      <formula>OR(W31&lt;W24,W31&lt;W26,W31&lt;W30)</formula>
    </cfRule>
  </conditionalFormatting>
  <conditionalFormatting sqref="W32">
    <cfRule type="expression" dxfId="378" priority="379">
      <formula>OR(W32&lt;W24,W32&lt;W26,W32&lt;W30,W32&lt;W31)</formula>
    </cfRule>
  </conditionalFormatting>
  <conditionalFormatting sqref="Y25">
    <cfRule type="expression" dxfId="377" priority="378">
      <formula>Y25&lt;Y24</formula>
    </cfRule>
  </conditionalFormatting>
  <conditionalFormatting sqref="Y26">
    <cfRule type="expression" dxfId="376" priority="377">
      <formula>Y26&lt;Y24</formula>
    </cfRule>
  </conditionalFormatting>
  <conditionalFormatting sqref="Y27">
    <cfRule type="expression" dxfId="375" priority="376">
      <formula>OR(Y27&lt;Y24,Y27&lt;Y26)</formula>
    </cfRule>
  </conditionalFormatting>
  <conditionalFormatting sqref="Y30">
    <cfRule type="expression" dxfId="374" priority="375">
      <formula>OR(Y30&lt;Y24,Y30&lt;Y26)</formula>
    </cfRule>
  </conditionalFormatting>
  <conditionalFormatting sqref="Y31">
    <cfRule type="expression" dxfId="373" priority="374">
      <formula>OR(Y31&lt;Y24,Y31&lt;Y26,Y31&lt;Y30)</formula>
    </cfRule>
  </conditionalFormatting>
  <conditionalFormatting sqref="Y32">
    <cfRule type="expression" dxfId="372" priority="373">
      <formula>OR(Y32&lt;Y24,Y32&lt;Y26,Y32&lt;Y30,Y32&lt;Y31)</formula>
    </cfRule>
  </conditionalFormatting>
  <conditionalFormatting sqref="E25">
    <cfRule type="expression" dxfId="371" priority="372">
      <formula>E25&lt;E24</formula>
    </cfRule>
  </conditionalFormatting>
  <conditionalFormatting sqref="E26">
    <cfRule type="expression" dxfId="370" priority="371">
      <formula>E26&lt;E24</formula>
    </cfRule>
  </conditionalFormatting>
  <conditionalFormatting sqref="E27">
    <cfRule type="expression" dxfId="369" priority="370">
      <formula>OR(E27&lt;E24,E27&lt;E26)</formula>
    </cfRule>
  </conditionalFormatting>
  <conditionalFormatting sqref="E30">
    <cfRule type="expression" dxfId="368" priority="369">
      <formula>OR(E30&lt;E24,E30&lt;E26)</formula>
    </cfRule>
  </conditionalFormatting>
  <conditionalFormatting sqref="E31">
    <cfRule type="expression" dxfId="367" priority="368">
      <formula>OR(E31&lt;E24,E31&lt;E26,E31&lt;E30)</formula>
    </cfRule>
  </conditionalFormatting>
  <conditionalFormatting sqref="E32">
    <cfRule type="expression" dxfId="366" priority="367">
      <formula>OR(E32&lt;E24,E32&lt;E26,E32&lt;E30,E32&lt;E31)</formula>
    </cfRule>
  </conditionalFormatting>
  <conditionalFormatting sqref="G25">
    <cfRule type="expression" dxfId="365" priority="366">
      <formula>G25&lt;G24</formula>
    </cfRule>
  </conditionalFormatting>
  <conditionalFormatting sqref="G26">
    <cfRule type="expression" dxfId="364" priority="365">
      <formula>G26&lt;G24</formula>
    </cfRule>
  </conditionalFormatting>
  <conditionalFormatting sqref="G27">
    <cfRule type="expression" dxfId="363" priority="364">
      <formula>OR(G27&lt;G24,G27&lt;G26)</formula>
    </cfRule>
  </conditionalFormatting>
  <conditionalFormatting sqref="G30">
    <cfRule type="expression" dxfId="362" priority="363">
      <formula>OR(G30&lt;G24,G30&lt;G26)</formula>
    </cfRule>
  </conditionalFormatting>
  <conditionalFormatting sqref="G31">
    <cfRule type="expression" dxfId="361" priority="362">
      <formula>OR(G31&lt;G24,G31&lt;G26,G31&lt;G30)</formula>
    </cfRule>
  </conditionalFormatting>
  <conditionalFormatting sqref="G32">
    <cfRule type="expression" dxfId="360" priority="361">
      <formula>OR(G32&lt;G24,G32&lt;G26,G32&lt;G30,G32&lt;G31)</formula>
    </cfRule>
  </conditionalFormatting>
  <conditionalFormatting sqref="I25">
    <cfRule type="expression" dxfId="359" priority="360">
      <formula>I25&lt;I24</formula>
    </cfRule>
  </conditionalFormatting>
  <conditionalFormatting sqref="I26">
    <cfRule type="expression" dxfId="358" priority="359">
      <formula>I26&lt;I24</formula>
    </cfRule>
  </conditionalFormatting>
  <conditionalFormatting sqref="I27">
    <cfRule type="expression" dxfId="357" priority="358">
      <formula>OR(I27&lt;I24,I27&lt;I26)</formula>
    </cfRule>
  </conditionalFormatting>
  <conditionalFormatting sqref="I30">
    <cfRule type="expression" dxfId="356" priority="357">
      <formula>OR(I30&lt;I24,I30&lt;I26)</formula>
    </cfRule>
  </conditionalFormatting>
  <conditionalFormatting sqref="I31">
    <cfRule type="expression" dxfId="355" priority="356">
      <formula>OR(I31&lt;I24,I31&lt;I26,I31&lt;I30)</formula>
    </cfRule>
  </conditionalFormatting>
  <conditionalFormatting sqref="I32">
    <cfRule type="expression" dxfId="354" priority="355">
      <formula>OR(I32&lt;I24,I32&lt;I26,I32&lt;I30,I32&lt;I31)</formula>
    </cfRule>
  </conditionalFormatting>
  <conditionalFormatting sqref="K25">
    <cfRule type="expression" dxfId="353" priority="354">
      <formula>K25&lt;K24</formula>
    </cfRule>
  </conditionalFormatting>
  <conditionalFormatting sqref="K26">
    <cfRule type="expression" dxfId="352" priority="353">
      <formula>K26&lt;K24</formula>
    </cfRule>
  </conditionalFormatting>
  <conditionalFormatting sqref="K27">
    <cfRule type="expression" dxfId="351" priority="352">
      <formula>OR(K27&lt;K24,K27&lt;K26)</formula>
    </cfRule>
  </conditionalFormatting>
  <conditionalFormatting sqref="K30">
    <cfRule type="expression" dxfId="350" priority="351">
      <formula>OR(K30&lt;K24,K30&lt;K26)</formula>
    </cfRule>
  </conditionalFormatting>
  <conditionalFormatting sqref="K31">
    <cfRule type="expression" dxfId="349" priority="350">
      <formula>OR(K31&lt;K24,K31&lt;K26,K31&lt;K30)</formula>
    </cfRule>
  </conditionalFormatting>
  <conditionalFormatting sqref="K32">
    <cfRule type="expression" dxfId="348" priority="349">
      <formula>OR(K32&lt;K24,K32&lt;K26,K32&lt;K30,K32&lt;K31)</formula>
    </cfRule>
  </conditionalFormatting>
  <conditionalFormatting sqref="M25">
    <cfRule type="expression" dxfId="347" priority="348">
      <formula>M25&lt;M24</formula>
    </cfRule>
  </conditionalFormatting>
  <conditionalFormatting sqref="M26">
    <cfRule type="expression" dxfId="346" priority="347">
      <formula>M26&lt;M24</formula>
    </cfRule>
  </conditionalFormatting>
  <conditionalFormatting sqref="M27">
    <cfRule type="expression" dxfId="345" priority="346">
      <formula>OR(M27&lt;M24,M27&lt;M26)</formula>
    </cfRule>
  </conditionalFormatting>
  <conditionalFormatting sqref="M30">
    <cfRule type="expression" dxfId="344" priority="345">
      <formula>OR(M30&lt;M24,M30&lt;M26)</formula>
    </cfRule>
  </conditionalFormatting>
  <conditionalFormatting sqref="M31">
    <cfRule type="expression" dxfId="343" priority="344">
      <formula>OR(M31&lt;M24,M31&lt;M26,M31&lt;M30)</formula>
    </cfRule>
  </conditionalFormatting>
  <conditionalFormatting sqref="M32">
    <cfRule type="expression" dxfId="342" priority="343">
      <formula>OR(M32&lt;M24,M32&lt;M26,M32&lt;M30,M32&lt;M31)</formula>
    </cfRule>
  </conditionalFormatting>
  <conditionalFormatting sqref="O25">
    <cfRule type="expression" dxfId="341" priority="342">
      <formula>O25&lt;O24</formula>
    </cfRule>
  </conditionalFormatting>
  <conditionalFormatting sqref="O26">
    <cfRule type="expression" dxfId="340" priority="341">
      <formula>O26&lt;O24</formula>
    </cfRule>
  </conditionalFormatting>
  <conditionalFormatting sqref="O27">
    <cfRule type="expression" dxfId="339" priority="340">
      <formula>OR(O27&lt;O24,O27&lt;O26)</formula>
    </cfRule>
  </conditionalFormatting>
  <conditionalFormatting sqref="O30">
    <cfRule type="expression" dxfId="338" priority="339">
      <formula>OR(O30&lt;O24,O30&lt;O26)</formula>
    </cfRule>
  </conditionalFormatting>
  <conditionalFormatting sqref="O31">
    <cfRule type="expression" dxfId="337" priority="338">
      <formula>OR(O31&lt;O24,O31&lt;O26,O31&lt;O30)</formula>
    </cfRule>
  </conditionalFormatting>
  <conditionalFormatting sqref="O32">
    <cfRule type="expression" dxfId="336" priority="337">
      <formula>OR(O32&lt;O24,O32&lt;O26,O32&lt;O30,O32&lt;O31)</formula>
    </cfRule>
  </conditionalFormatting>
  <conditionalFormatting sqref="Q25">
    <cfRule type="expression" dxfId="335" priority="336">
      <formula>Q25&lt;Q24</formula>
    </cfRule>
  </conditionalFormatting>
  <conditionalFormatting sqref="Q26">
    <cfRule type="expression" dxfId="334" priority="335">
      <formula>Q26&lt;Q24</formula>
    </cfRule>
  </conditionalFormatting>
  <conditionalFormatting sqref="Q27">
    <cfRule type="expression" dxfId="333" priority="334">
      <formula>OR(Q27&lt;Q24,Q27&lt;Q26)</formula>
    </cfRule>
  </conditionalFormatting>
  <conditionalFormatting sqref="Q30">
    <cfRule type="expression" dxfId="332" priority="333">
      <formula>OR(Q30&lt;Q24,Q30&lt;Q26)</formula>
    </cfRule>
  </conditionalFormatting>
  <conditionalFormatting sqref="Q31">
    <cfRule type="expression" dxfId="331" priority="332">
      <formula>OR(Q31&lt;Q24,Q31&lt;Q26,Q31&lt;Q30)</formula>
    </cfRule>
  </conditionalFormatting>
  <conditionalFormatting sqref="Q32">
    <cfRule type="expression" dxfId="330" priority="331">
      <formula>OR(Q32&lt;Q24,Q32&lt;Q26,Q32&lt;Q30,Q32&lt;Q31)</formula>
    </cfRule>
  </conditionalFormatting>
  <conditionalFormatting sqref="S25">
    <cfRule type="expression" dxfId="329" priority="330">
      <formula>S25&lt;S24</formula>
    </cfRule>
  </conditionalFormatting>
  <conditionalFormatting sqref="S26">
    <cfRule type="expression" dxfId="328" priority="329">
      <formula>S26&lt;S24</formula>
    </cfRule>
  </conditionalFormatting>
  <conditionalFormatting sqref="S27">
    <cfRule type="expression" dxfId="327" priority="328">
      <formula>OR(S27&lt;S24,S27&lt;S26)</formula>
    </cfRule>
  </conditionalFormatting>
  <conditionalFormatting sqref="S30">
    <cfRule type="expression" dxfId="326" priority="327">
      <formula>OR(S30&lt;S24,S30&lt;S26)</formula>
    </cfRule>
  </conditionalFormatting>
  <conditionalFormatting sqref="S31">
    <cfRule type="expression" dxfId="325" priority="326">
      <formula>OR(S31&lt;S24,S31&lt;S26,S31&lt;S30)</formula>
    </cfRule>
  </conditionalFormatting>
  <conditionalFormatting sqref="S32">
    <cfRule type="expression" dxfId="324" priority="325">
      <formula>OR(S32&lt;S24,S32&lt;S26,S32&lt;S30,S32&lt;S31)</formula>
    </cfRule>
  </conditionalFormatting>
  <conditionalFormatting sqref="U25">
    <cfRule type="expression" dxfId="323" priority="324">
      <formula>U25&lt;U24</formula>
    </cfRule>
  </conditionalFormatting>
  <conditionalFormatting sqref="U26">
    <cfRule type="expression" dxfId="322" priority="323">
      <formula>U26&lt;U24</formula>
    </cfRule>
  </conditionalFormatting>
  <conditionalFormatting sqref="U27">
    <cfRule type="expression" dxfId="321" priority="322">
      <formula>OR(U27&lt;U24,U27&lt;U26)</formula>
    </cfRule>
  </conditionalFormatting>
  <conditionalFormatting sqref="U30">
    <cfRule type="expression" dxfId="320" priority="321">
      <formula>OR(U30&lt;U24,U30&lt;U26)</formula>
    </cfRule>
  </conditionalFormatting>
  <conditionalFormatting sqref="U31">
    <cfRule type="expression" dxfId="319" priority="320">
      <formula>OR(U31&lt;U24,U31&lt;U26,U31&lt;U30)</formula>
    </cfRule>
  </conditionalFormatting>
  <conditionalFormatting sqref="U32">
    <cfRule type="expression" dxfId="318" priority="319">
      <formula>OR(U32&lt;U24,U32&lt;U26,U32&lt;U30,U32&lt;U31)</formula>
    </cfRule>
  </conditionalFormatting>
  <conditionalFormatting sqref="W25">
    <cfRule type="expression" dxfId="317" priority="318">
      <formula>W25&lt;W24</formula>
    </cfRule>
  </conditionalFormatting>
  <conditionalFormatting sqref="W26">
    <cfRule type="expression" dxfId="316" priority="317">
      <formula>W26&lt;W24</formula>
    </cfRule>
  </conditionalFormatting>
  <conditionalFormatting sqref="W27">
    <cfRule type="expression" dxfId="315" priority="316">
      <formula>OR(W27&lt;W24,W27&lt;W26)</formula>
    </cfRule>
  </conditionalFormatting>
  <conditionalFormatting sqref="W30">
    <cfRule type="expression" dxfId="314" priority="315">
      <formula>OR(W30&lt;W24,W30&lt;W26)</formula>
    </cfRule>
  </conditionalFormatting>
  <conditionalFormatting sqref="W31">
    <cfRule type="expression" dxfId="313" priority="314">
      <formula>OR(W31&lt;W24,W31&lt;W26,W31&lt;W30)</formula>
    </cfRule>
  </conditionalFormatting>
  <conditionalFormatting sqref="W32">
    <cfRule type="expression" dxfId="312" priority="313">
      <formula>OR(W32&lt;W24,W32&lt;W26,W32&lt;W30,W32&lt;W31)</formula>
    </cfRule>
  </conditionalFormatting>
  <conditionalFormatting sqref="Y25">
    <cfRule type="expression" dxfId="311" priority="312">
      <formula>Y25&lt;Y24</formula>
    </cfRule>
  </conditionalFormatting>
  <conditionalFormatting sqref="Y26">
    <cfRule type="expression" dxfId="310" priority="311">
      <formula>Y26&lt;Y24</formula>
    </cfRule>
  </conditionalFormatting>
  <conditionalFormatting sqref="Y27">
    <cfRule type="expression" dxfId="309" priority="310">
      <formula>OR(Y27&lt;Y24,Y27&lt;Y26)</formula>
    </cfRule>
  </conditionalFormatting>
  <conditionalFormatting sqref="Y30">
    <cfRule type="expression" dxfId="308" priority="309">
      <formula>OR(Y30&lt;Y24,Y30&lt;Y26)</formula>
    </cfRule>
  </conditionalFormatting>
  <conditionalFormatting sqref="Y31">
    <cfRule type="expression" dxfId="307" priority="308">
      <formula>OR(Y31&lt;Y24,Y31&lt;Y26,Y31&lt;Y30)</formula>
    </cfRule>
  </conditionalFormatting>
  <conditionalFormatting sqref="Y32">
    <cfRule type="expression" dxfId="306" priority="307">
      <formula>OR(Y32&lt;Y24,Y32&lt;Y26,Y32&lt;Y30,Y32&lt;Y31)</formula>
    </cfRule>
  </conditionalFormatting>
  <conditionalFormatting sqref="Z18:AA32">
    <cfRule type="expression" dxfId="305" priority="305">
      <formula>AND( OR(     (COLUMN()-3)/4=ROUNDDOWN((COLUMN()-3)/4,0), (COLUMN()-2)/4=ROUNDDOWN( (COLUMN()-2)/4,0 )   ), ROW()/2=ROUNDDOWN(ROW()/2,0) )</formula>
    </cfRule>
    <cfRule type="expression" dxfId="304" priority="306" stopIfTrue="1">
      <formula>AND( OR(     (COLUMN()-1)/4=ROUNDDOWN((COLUMN()-1)/4,0), (COLUMN()+0)/4=ROUNDDOWN( (COLUMN()+0)/4,0 )   ), ROW()/2=ROUNDDOWN(ROW()/2,0) )</formula>
    </cfRule>
  </conditionalFormatting>
  <conditionalFormatting sqref="AA25">
    <cfRule type="expression" dxfId="303" priority="304">
      <formula>AA25&lt;AA24</formula>
    </cfRule>
  </conditionalFormatting>
  <conditionalFormatting sqref="AA26">
    <cfRule type="expression" dxfId="302" priority="303">
      <formula>AA26&lt;AA24</formula>
    </cfRule>
  </conditionalFormatting>
  <conditionalFormatting sqref="AA27">
    <cfRule type="expression" dxfId="301" priority="302">
      <formula>OR(AA27&lt;AA24,AA27&lt;AA26)</formula>
    </cfRule>
  </conditionalFormatting>
  <conditionalFormatting sqref="AA25">
    <cfRule type="expression" dxfId="300" priority="301">
      <formula>AA25&lt;AA24</formula>
    </cfRule>
  </conditionalFormatting>
  <conditionalFormatting sqref="AA26">
    <cfRule type="expression" dxfId="299" priority="300">
      <formula>AA26&lt;AA24</formula>
    </cfRule>
  </conditionalFormatting>
  <conditionalFormatting sqref="AA27">
    <cfRule type="expression" dxfId="298" priority="299">
      <formula>OR(AA27&lt;AA24,AA27&lt;AA26)</formula>
    </cfRule>
  </conditionalFormatting>
  <conditionalFormatting sqref="AA30">
    <cfRule type="expression" dxfId="297" priority="298">
      <formula>OR(AA30&lt;AA24,AA30&lt;AA26)</formula>
    </cfRule>
  </conditionalFormatting>
  <conditionalFormatting sqref="AA31">
    <cfRule type="expression" dxfId="296" priority="297">
      <formula>OR(AA31&lt;AA24,AA31&lt;AA26,AA31&lt;AA30)</formula>
    </cfRule>
  </conditionalFormatting>
  <conditionalFormatting sqref="AA32">
    <cfRule type="expression" dxfId="295" priority="296">
      <formula>OR(AA32&lt;AA24,AA32&lt;AA26,AA32&lt;AA30,AA32&lt;AA31)</formula>
    </cfRule>
  </conditionalFormatting>
  <conditionalFormatting sqref="AA25">
    <cfRule type="expression" dxfId="294" priority="295">
      <formula>AA25&lt;AA24</formula>
    </cfRule>
  </conditionalFormatting>
  <conditionalFormatting sqref="AA26">
    <cfRule type="expression" dxfId="293" priority="294">
      <formula>AA26&lt;AA24</formula>
    </cfRule>
  </conditionalFormatting>
  <conditionalFormatting sqref="AA27">
    <cfRule type="expression" dxfId="292" priority="293">
      <formula>OR(AA27&lt;AA24,AA27&lt;AA26)</formula>
    </cfRule>
  </conditionalFormatting>
  <conditionalFormatting sqref="AA30">
    <cfRule type="expression" dxfId="291" priority="292">
      <formula>OR(AA30&lt;AA24,AA30&lt;AA26)</formula>
    </cfRule>
  </conditionalFormatting>
  <conditionalFormatting sqref="AA31">
    <cfRule type="expression" dxfId="290" priority="291">
      <formula>OR(AA31&lt;AA24,AA31&lt;AA26,AA31&lt;AA30)</formula>
    </cfRule>
  </conditionalFormatting>
  <conditionalFormatting sqref="AA32">
    <cfRule type="expression" dxfId="289" priority="290">
      <formula>OR(AA32&lt;AA24,AA32&lt;AA26,AA32&lt;AA30,AA32&lt;AA31)</formula>
    </cfRule>
  </conditionalFormatting>
  <conditionalFormatting sqref="AB18:AC32">
    <cfRule type="expression" dxfId="288" priority="288">
      <formula>AND( OR(     (COLUMN()-3)/4=ROUNDDOWN((COLUMN()-3)/4,0), (COLUMN()-2)/4=ROUNDDOWN( (COLUMN()-2)/4,0 )   ), ROW()/2=ROUNDDOWN(ROW()/2,0) )</formula>
    </cfRule>
    <cfRule type="expression" dxfId="287" priority="289" stopIfTrue="1">
      <formula>AND( OR(     (COLUMN()-1)/4=ROUNDDOWN((COLUMN()-1)/4,0), (COLUMN()+0)/4=ROUNDDOWN( (COLUMN()+0)/4,0 )   ), ROW()/2=ROUNDDOWN(ROW()/2,0) )</formula>
    </cfRule>
  </conditionalFormatting>
  <conditionalFormatting sqref="AC25">
    <cfRule type="expression" dxfId="286" priority="287">
      <formula>AC25&lt;AC24</formula>
    </cfRule>
  </conditionalFormatting>
  <conditionalFormatting sqref="AC26">
    <cfRule type="expression" dxfId="285" priority="286">
      <formula>AC26&lt;AC24</formula>
    </cfRule>
  </conditionalFormatting>
  <conditionalFormatting sqref="AC27">
    <cfRule type="expression" dxfId="284" priority="285">
      <formula>OR(AC27&lt;AC24,AC27&lt;AC26)</formula>
    </cfRule>
  </conditionalFormatting>
  <conditionalFormatting sqref="AC25">
    <cfRule type="expression" dxfId="283" priority="284">
      <formula>AC25&lt;AC24</formula>
    </cfRule>
  </conditionalFormatting>
  <conditionalFormatting sqref="AC26">
    <cfRule type="expression" dxfId="282" priority="283">
      <formula>AC26&lt;AC24</formula>
    </cfRule>
  </conditionalFormatting>
  <conditionalFormatting sqref="AC27">
    <cfRule type="expression" dxfId="281" priority="282">
      <formula>OR(AC27&lt;AC24,AC27&lt;AC26)</formula>
    </cfRule>
  </conditionalFormatting>
  <conditionalFormatting sqref="AC30">
    <cfRule type="expression" dxfId="280" priority="281">
      <formula>OR(AC30&lt;AC24,AC30&lt;AC26)</formula>
    </cfRule>
  </conditionalFormatting>
  <conditionalFormatting sqref="AC31">
    <cfRule type="expression" dxfId="279" priority="280">
      <formula>OR(AC31&lt;AC24,AC31&lt;AC26,AC31&lt;AC30)</formula>
    </cfRule>
  </conditionalFormatting>
  <conditionalFormatting sqref="AC32">
    <cfRule type="expression" dxfId="278" priority="279">
      <formula>OR(AC32&lt;AC24,AC32&lt;AC26,AC32&lt;AC30,AC32&lt;AC31)</formula>
    </cfRule>
  </conditionalFormatting>
  <conditionalFormatting sqref="AC25">
    <cfRule type="expression" dxfId="277" priority="278">
      <formula>AC25&lt;AC24</formula>
    </cfRule>
  </conditionalFormatting>
  <conditionalFormatting sqref="AC26">
    <cfRule type="expression" dxfId="276" priority="277">
      <formula>AC26&lt;AC24</formula>
    </cfRule>
  </conditionalFormatting>
  <conditionalFormatting sqref="AC27">
    <cfRule type="expression" dxfId="275" priority="276">
      <formula>OR(AC27&lt;AC24,AC27&lt;AC26)</formula>
    </cfRule>
  </conditionalFormatting>
  <conditionalFormatting sqref="AC30">
    <cfRule type="expression" dxfId="274" priority="275">
      <formula>OR(AC30&lt;AC24,AC30&lt;AC26)</formula>
    </cfRule>
  </conditionalFormatting>
  <conditionalFormatting sqref="AC31">
    <cfRule type="expression" dxfId="273" priority="274">
      <formula>OR(AC31&lt;AC24,AC31&lt;AC26,AC31&lt;AC30)</formula>
    </cfRule>
  </conditionalFormatting>
  <conditionalFormatting sqref="AC32">
    <cfRule type="expression" dxfId="272" priority="273">
      <formula>OR(AC32&lt;AC24,AC32&lt;AC26,AC32&lt;AC30,AC32&lt;AC31)</formula>
    </cfRule>
  </conditionalFormatting>
  <conditionalFormatting sqref="AD18:AE32">
    <cfRule type="expression" dxfId="271" priority="271">
      <formula>AND( OR(     (COLUMN()-3)/4=ROUNDDOWN((COLUMN()-3)/4,0), (COLUMN()-2)/4=ROUNDDOWN( (COLUMN()-2)/4,0 )   ), ROW()/2=ROUNDDOWN(ROW()/2,0) )</formula>
    </cfRule>
    <cfRule type="expression" dxfId="270" priority="272" stopIfTrue="1">
      <formula>AND( OR(     (COLUMN()-1)/4=ROUNDDOWN((COLUMN()-1)/4,0), (COLUMN()+0)/4=ROUNDDOWN( (COLUMN()+0)/4,0 )   ), ROW()/2=ROUNDDOWN(ROW()/2,0) )</formula>
    </cfRule>
  </conditionalFormatting>
  <conditionalFormatting sqref="AE25">
    <cfRule type="expression" dxfId="269" priority="270">
      <formula>AE25&lt;AE24</formula>
    </cfRule>
  </conditionalFormatting>
  <conditionalFormatting sqref="AE26">
    <cfRule type="expression" dxfId="268" priority="269">
      <formula>AE26&lt;AE24</formula>
    </cfRule>
  </conditionalFormatting>
  <conditionalFormatting sqref="AE27">
    <cfRule type="expression" dxfId="267" priority="268">
      <formula>OR(AE27&lt;AE24,AE27&lt;AE26)</formula>
    </cfRule>
  </conditionalFormatting>
  <conditionalFormatting sqref="AE25">
    <cfRule type="expression" dxfId="266" priority="267">
      <formula>AE25&lt;AE24</formula>
    </cfRule>
  </conditionalFormatting>
  <conditionalFormatting sqref="AE26">
    <cfRule type="expression" dxfId="265" priority="266">
      <formula>AE26&lt;AE24</formula>
    </cfRule>
  </conditionalFormatting>
  <conditionalFormatting sqref="AE27">
    <cfRule type="expression" dxfId="264" priority="265">
      <formula>OR(AE27&lt;AE24,AE27&lt;AE26)</formula>
    </cfRule>
  </conditionalFormatting>
  <conditionalFormatting sqref="AE30">
    <cfRule type="expression" dxfId="263" priority="264">
      <formula>OR(AE30&lt;AE24,AE30&lt;AE26)</formula>
    </cfRule>
  </conditionalFormatting>
  <conditionalFormatting sqref="AE31">
    <cfRule type="expression" dxfId="262" priority="263">
      <formula>OR(AE31&lt;AE24,AE31&lt;AE26,AE31&lt;AE30)</formula>
    </cfRule>
  </conditionalFormatting>
  <conditionalFormatting sqref="AE32">
    <cfRule type="expression" dxfId="261" priority="262">
      <formula>OR(AE32&lt;AE24,AE32&lt;AE26,AE32&lt;AE30,AE32&lt;AE31)</formula>
    </cfRule>
  </conditionalFormatting>
  <conditionalFormatting sqref="AE25">
    <cfRule type="expression" dxfId="260" priority="261">
      <formula>AE25&lt;AE24</formula>
    </cfRule>
  </conditionalFormatting>
  <conditionalFormatting sqref="AE26">
    <cfRule type="expression" dxfId="259" priority="260">
      <formula>AE26&lt;AE24</formula>
    </cfRule>
  </conditionalFormatting>
  <conditionalFormatting sqref="AE27">
    <cfRule type="expression" dxfId="258" priority="259">
      <formula>OR(AE27&lt;AE24,AE27&lt;AE26)</formula>
    </cfRule>
  </conditionalFormatting>
  <conditionalFormatting sqref="AE30">
    <cfRule type="expression" dxfId="257" priority="258">
      <formula>OR(AE30&lt;AE24,AE30&lt;AE26)</formula>
    </cfRule>
  </conditionalFormatting>
  <conditionalFormatting sqref="AE31">
    <cfRule type="expression" dxfId="256" priority="257">
      <formula>OR(AE31&lt;AE24,AE31&lt;AE26,AE31&lt;AE30)</formula>
    </cfRule>
  </conditionalFormatting>
  <conditionalFormatting sqref="AE32">
    <cfRule type="expression" dxfId="255" priority="256">
      <formula>OR(AE32&lt;AE24,AE32&lt;AE26,AE32&lt;AE30,AE32&lt;AE31)</formula>
    </cfRule>
  </conditionalFormatting>
  <conditionalFormatting sqref="AF18:AG32">
    <cfRule type="expression" dxfId="254" priority="254">
      <formula>AND( OR(     (COLUMN()-3)/4=ROUNDDOWN((COLUMN()-3)/4,0), (COLUMN()-2)/4=ROUNDDOWN( (COLUMN()-2)/4,0 )   ), ROW()/2=ROUNDDOWN(ROW()/2,0) )</formula>
    </cfRule>
    <cfRule type="expression" dxfId="253" priority="255" stopIfTrue="1">
      <formula>AND( OR(     (COLUMN()-1)/4=ROUNDDOWN((COLUMN()-1)/4,0), (COLUMN()+0)/4=ROUNDDOWN( (COLUMN()+0)/4,0 )   ), ROW()/2=ROUNDDOWN(ROW()/2,0) )</formula>
    </cfRule>
  </conditionalFormatting>
  <conditionalFormatting sqref="AG25">
    <cfRule type="expression" dxfId="252" priority="253">
      <formula>AG25&lt;AG24</formula>
    </cfRule>
  </conditionalFormatting>
  <conditionalFormatting sqref="AG26">
    <cfRule type="expression" dxfId="251" priority="252">
      <formula>AG26&lt;AG24</formula>
    </cfRule>
  </conditionalFormatting>
  <conditionalFormatting sqref="AG27">
    <cfRule type="expression" dxfId="250" priority="251">
      <formula>OR(AG27&lt;AG24,AG27&lt;AG26)</formula>
    </cfRule>
  </conditionalFormatting>
  <conditionalFormatting sqref="AG25">
    <cfRule type="expression" dxfId="249" priority="250">
      <formula>AG25&lt;AG24</formula>
    </cfRule>
  </conditionalFormatting>
  <conditionalFormatting sqref="AG26">
    <cfRule type="expression" dxfId="248" priority="249">
      <formula>AG26&lt;AG24</formula>
    </cfRule>
  </conditionalFormatting>
  <conditionalFormatting sqref="AG27">
    <cfRule type="expression" dxfId="247" priority="248">
      <formula>OR(AG27&lt;AG24,AG27&lt;AG26)</formula>
    </cfRule>
  </conditionalFormatting>
  <conditionalFormatting sqref="AG30">
    <cfRule type="expression" dxfId="246" priority="247">
      <formula>OR(AG30&lt;AG24,AG30&lt;AG26)</formula>
    </cfRule>
  </conditionalFormatting>
  <conditionalFormatting sqref="AG31">
    <cfRule type="expression" dxfId="245" priority="246">
      <formula>OR(AG31&lt;AG24,AG31&lt;AG26,AG31&lt;AG30)</formula>
    </cfRule>
  </conditionalFormatting>
  <conditionalFormatting sqref="AG32">
    <cfRule type="expression" dxfId="244" priority="245">
      <formula>OR(AG32&lt;AG24,AG32&lt;AG26,AG32&lt;AG30,AG32&lt;AG31)</formula>
    </cfRule>
  </conditionalFormatting>
  <conditionalFormatting sqref="AG25">
    <cfRule type="expression" dxfId="243" priority="244">
      <formula>AG25&lt;AG24</formula>
    </cfRule>
  </conditionalFormatting>
  <conditionalFormatting sqref="AG26">
    <cfRule type="expression" dxfId="242" priority="243">
      <formula>AG26&lt;AG24</formula>
    </cfRule>
  </conditionalFormatting>
  <conditionalFormatting sqref="AG27">
    <cfRule type="expression" dxfId="241" priority="242">
      <formula>OR(AG27&lt;AG24,AG27&lt;AG26)</formula>
    </cfRule>
  </conditionalFormatting>
  <conditionalFormatting sqref="AG30">
    <cfRule type="expression" dxfId="240" priority="241">
      <formula>OR(AG30&lt;AG24,AG30&lt;AG26)</formula>
    </cfRule>
  </conditionalFormatting>
  <conditionalFormatting sqref="AG31">
    <cfRule type="expression" dxfId="239" priority="240">
      <formula>OR(AG31&lt;AG24,AG31&lt;AG26,AG31&lt;AG30)</formula>
    </cfRule>
  </conditionalFormatting>
  <conditionalFormatting sqref="AG32">
    <cfRule type="expression" dxfId="238" priority="239">
      <formula>OR(AG32&lt;AG24,AG32&lt;AG26,AG32&lt;AG30,AG32&lt;AG31)</formula>
    </cfRule>
  </conditionalFormatting>
  <conditionalFormatting sqref="AH18:AI32">
    <cfRule type="expression" dxfId="237" priority="237">
      <formula>AND( OR(     (COLUMN()-3)/4=ROUNDDOWN((COLUMN()-3)/4,0), (COLUMN()-2)/4=ROUNDDOWN( (COLUMN()-2)/4,0 )   ), ROW()/2=ROUNDDOWN(ROW()/2,0) )</formula>
    </cfRule>
    <cfRule type="expression" dxfId="236" priority="238" stopIfTrue="1">
      <formula>AND( OR(     (COLUMN()-1)/4=ROUNDDOWN((COLUMN()-1)/4,0), (COLUMN()+0)/4=ROUNDDOWN( (COLUMN()+0)/4,0 )   ), ROW()/2=ROUNDDOWN(ROW()/2,0) )</formula>
    </cfRule>
  </conditionalFormatting>
  <conditionalFormatting sqref="AI25">
    <cfRule type="expression" dxfId="235" priority="236">
      <formula>AI25&lt;AI24</formula>
    </cfRule>
  </conditionalFormatting>
  <conditionalFormatting sqref="AI26">
    <cfRule type="expression" dxfId="234" priority="235">
      <formula>AI26&lt;AI24</formula>
    </cfRule>
  </conditionalFormatting>
  <conditionalFormatting sqref="AI27">
    <cfRule type="expression" dxfId="233" priority="234">
      <formula>OR(AI27&lt;AI24,AI27&lt;AI26)</formula>
    </cfRule>
  </conditionalFormatting>
  <conditionalFormatting sqref="AI25">
    <cfRule type="expression" dxfId="232" priority="233">
      <formula>AI25&lt;AI24</formula>
    </cfRule>
  </conditionalFormatting>
  <conditionalFormatting sqref="AI26">
    <cfRule type="expression" dxfId="231" priority="232">
      <formula>AI26&lt;AI24</formula>
    </cfRule>
  </conditionalFormatting>
  <conditionalFormatting sqref="AI27">
    <cfRule type="expression" dxfId="230" priority="231">
      <formula>OR(AI27&lt;AI24,AI27&lt;AI26)</formula>
    </cfRule>
  </conditionalFormatting>
  <conditionalFormatting sqref="AI30">
    <cfRule type="expression" dxfId="229" priority="230">
      <formula>OR(AI30&lt;AI24,AI30&lt;AI26)</formula>
    </cfRule>
  </conditionalFormatting>
  <conditionalFormatting sqref="AI31">
    <cfRule type="expression" dxfId="228" priority="229">
      <formula>OR(AI31&lt;AI24,AI31&lt;AI26,AI31&lt;AI30)</formula>
    </cfRule>
  </conditionalFormatting>
  <conditionalFormatting sqref="AI32">
    <cfRule type="expression" dxfId="227" priority="228">
      <formula>OR(AI32&lt;AI24,AI32&lt;AI26,AI32&lt;AI30,AI32&lt;AI31)</formula>
    </cfRule>
  </conditionalFormatting>
  <conditionalFormatting sqref="AI25">
    <cfRule type="expression" dxfId="226" priority="227">
      <formula>AI25&lt;AI24</formula>
    </cfRule>
  </conditionalFormatting>
  <conditionalFormatting sqref="AI26">
    <cfRule type="expression" dxfId="225" priority="226">
      <formula>AI26&lt;AI24</formula>
    </cfRule>
  </conditionalFormatting>
  <conditionalFormatting sqref="AI27">
    <cfRule type="expression" dxfId="224" priority="225">
      <formula>OR(AI27&lt;AI24,AI27&lt;AI26)</formula>
    </cfRule>
  </conditionalFormatting>
  <conditionalFormatting sqref="AI30">
    <cfRule type="expression" dxfId="223" priority="224">
      <formula>OR(AI30&lt;AI24,AI30&lt;AI26)</formula>
    </cfRule>
  </conditionalFormatting>
  <conditionalFormatting sqref="AI31">
    <cfRule type="expression" dxfId="222" priority="223">
      <formula>OR(AI31&lt;AI24,AI31&lt;AI26,AI31&lt;AI30)</formula>
    </cfRule>
  </conditionalFormatting>
  <conditionalFormatting sqref="AI32">
    <cfRule type="expression" dxfId="221" priority="222">
      <formula>OR(AI32&lt;AI24,AI32&lt;AI26,AI32&lt;AI30,AI32&lt;AI31)</formula>
    </cfRule>
  </conditionalFormatting>
  <conditionalFormatting sqref="AJ18:AK32">
    <cfRule type="expression" dxfId="220" priority="220">
      <formula>AND( OR(     (COLUMN()-3)/4=ROUNDDOWN((COLUMN()-3)/4,0), (COLUMN()-2)/4=ROUNDDOWN( (COLUMN()-2)/4,0 )   ), ROW()/2=ROUNDDOWN(ROW()/2,0) )</formula>
    </cfRule>
    <cfRule type="expression" dxfId="219" priority="221" stopIfTrue="1">
      <formula>AND( OR(     (COLUMN()-1)/4=ROUNDDOWN((COLUMN()-1)/4,0), (COLUMN()+0)/4=ROUNDDOWN( (COLUMN()+0)/4,0 )   ), ROW()/2=ROUNDDOWN(ROW()/2,0) )</formula>
    </cfRule>
  </conditionalFormatting>
  <conditionalFormatting sqref="AK25">
    <cfRule type="expression" dxfId="218" priority="219">
      <formula>AK25&lt;AK24</formula>
    </cfRule>
  </conditionalFormatting>
  <conditionalFormatting sqref="AK26">
    <cfRule type="expression" dxfId="217" priority="218">
      <formula>AK26&lt;AK24</formula>
    </cfRule>
  </conditionalFormatting>
  <conditionalFormatting sqref="AK27">
    <cfRule type="expression" dxfId="216" priority="217">
      <formula>OR(AK27&lt;AK24,AK27&lt;AK26)</formula>
    </cfRule>
  </conditionalFormatting>
  <conditionalFormatting sqref="AK25">
    <cfRule type="expression" dxfId="215" priority="216">
      <formula>AK25&lt;AK24</formula>
    </cfRule>
  </conditionalFormatting>
  <conditionalFormatting sqref="AK26">
    <cfRule type="expression" dxfId="214" priority="215">
      <formula>AK26&lt;AK24</formula>
    </cfRule>
  </conditionalFormatting>
  <conditionalFormatting sqref="AK27">
    <cfRule type="expression" dxfId="213" priority="214">
      <formula>OR(AK27&lt;AK24,AK27&lt;AK26)</formula>
    </cfRule>
  </conditionalFormatting>
  <conditionalFormatting sqref="AK30">
    <cfRule type="expression" dxfId="212" priority="213">
      <formula>OR(AK30&lt;AK24,AK30&lt;AK26)</formula>
    </cfRule>
  </conditionalFormatting>
  <conditionalFormatting sqref="AK31">
    <cfRule type="expression" dxfId="211" priority="212">
      <formula>OR(AK31&lt;AK24,AK31&lt;AK26,AK31&lt;AK30)</formula>
    </cfRule>
  </conditionalFormatting>
  <conditionalFormatting sqref="AK32">
    <cfRule type="expression" dxfId="210" priority="211">
      <formula>OR(AK32&lt;AK24,AK32&lt;AK26,AK32&lt;AK30,AK32&lt;AK31)</formula>
    </cfRule>
  </conditionalFormatting>
  <conditionalFormatting sqref="AK25">
    <cfRule type="expression" dxfId="209" priority="210">
      <formula>AK25&lt;AK24</formula>
    </cfRule>
  </conditionalFormatting>
  <conditionalFormatting sqref="AK26">
    <cfRule type="expression" dxfId="208" priority="209">
      <formula>AK26&lt;AK24</formula>
    </cfRule>
  </conditionalFormatting>
  <conditionalFormatting sqref="AK27">
    <cfRule type="expression" dxfId="207" priority="208">
      <formula>OR(AK27&lt;AK24,AK27&lt;AK26)</formula>
    </cfRule>
  </conditionalFormatting>
  <conditionalFormatting sqref="AK30">
    <cfRule type="expression" dxfId="206" priority="207">
      <formula>OR(AK30&lt;AK24,AK30&lt;AK26)</formula>
    </cfRule>
  </conditionalFormatting>
  <conditionalFormatting sqref="AK31">
    <cfRule type="expression" dxfId="205" priority="206">
      <formula>OR(AK31&lt;AK24,AK31&lt;AK26,AK31&lt;AK30)</formula>
    </cfRule>
  </conditionalFormatting>
  <conditionalFormatting sqref="AK32">
    <cfRule type="expression" dxfId="204" priority="205">
      <formula>OR(AK32&lt;AK24,AK32&lt;AK26,AK32&lt;AK30,AK32&lt;AK31)</formula>
    </cfRule>
  </conditionalFormatting>
  <conditionalFormatting sqref="AL18:AM32">
    <cfRule type="expression" dxfId="203" priority="203">
      <formula>AND( OR(     (COLUMN()-3)/4=ROUNDDOWN((COLUMN()-3)/4,0), (COLUMN()-2)/4=ROUNDDOWN( (COLUMN()-2)/4,0 )   ), ROW()/2=ROUNDDOWN(ROW()/2,0) )</formula>
    </cfRule>
    <cfRule type="expression" dxfId="202" priority="204" stopIfTrue="1">
      <formula>AND( OR(     (COLUMN()-1)/4=ROUNDDOWN((COLUMN()-1)/4,0), (COLUMN()+0)/4=ROUNDDOWN( (COLUMN()+0)/4,0 )   ), ROW()/2=ROUNDDOWN(ROW()/2,0) )</formula>
    </cfRule>
  </conditionalFormatting>
  <conditionalFormatting sqref="AM25">
    <cfRule type="expression" dxfId="201" priority="202">
      <formula>AM25&lt;AM24</formula>
    </cfRule>
  </conditionalFormatting>
  <conditionalFormatting sqref="AM26">
    <cfRule type="expression" dxfId="200" priority="201">
      <formula>AM26&lt;AM24</formula>
    </cfRule>
  </conditionalFormatting>
  <conditionalFormatting sqref="AM27">
    <cfRule type="expression" dxfId="199" priority="200">
      <formula>OR(AM27&lt;AM24,AM27&lt;AM26)</formula>
    </cfRule>
  </conditionalFormatting>
  <conditionalFormatting sqref="AM25">
    <cfRule type="expression" dxfId="198" priority="199">
      <formula>AM25&lt;AM24</formula>
    </cfRule>
  </conditionalFormatting>
  <conditionalFormatting sqref="AM26">
    <cfRule type="expression" dxfId="197" priority="198">
      <formula>AM26&lt;AM24</formula>
    </cfRule>
  </conditionalFormatting>
  <conditionalFormatting sqref="AM27">
    <cfRule type="expression" dxfId="196" priority="197">
      <formula>OR(AM27&lt;AM24,AM27&lt;AM26)</formula>
    </cfRule>
  </conditionalFormatting>
  <conditionalFormatting sqref="AM30">
    <cfRule type="expression" dxfId="195" priority="196">
      <formula>OR(AM30&lt;AM24,AM30&lt;AM26)</formula>
    </cfRule>
  </conditionalFormatting>
  <conditionalFormatting sqref="AM31">
    <cfRule type="expression" dxfId="194" priority="195">
      <formula>OR(AM31&lt;AM24,AM31&lt;AM26,AM31&lt;AM30)</formula>
    </cfRule>
  </conditionalFormatting>
  <conditionalFormatting sqref="AM32">
    <cfRule type="expression" dxfId="193" priority="194">
      <formula>OR(AM32&lt;AM24,AM32&lt;AM26,AM32&lt;AM30,AM32&lt;AM31)</formula>
    </cfRule>
  </conditionalFormatting>
  <conditionalFormatting sqref="AM25">
    <cfRule type="expression" dxfId="192" priority="193">
      <formula>AM25&lt;AM24</formula>
    </cfRule>
  </conditionalFormatting>
  <conditionalFormatting sqref="AM26">
    <cfRule type="expression" dxfId="191" priority="192">
      <formula>AM26&lt;AM24</formula>
    </cfRule>
  </conditionalFormatting>
  <conditionalFormatting sqref="AM27">
    <cfRule type="expression" dxfId="190" priority="191">
      <formula>OR(AM27&lt;AM24,AM27&lt;AM26)</formula>
    </cfRule>
  </conditionalFormatting>
  <conditionalFormatting sqref="AM30">
    <cfRule type="expression" dxfId="189" priority="190">
      <formula>OR(AM30&lt;AM24,AM30&lt;AM26)</formula>
    </cfRule>
  </conditionalFormatting>
  <conditionalFormatting sqref="AM31">
    <cfRule type="expression" dxfId="188" priority="189">
      <formula>OR(AM31&lt;AM24,AM31&lt;AM26,AM31&lt;AM30)</formula>
    </cfRule>
  </conditionalFormatting>
  <conditionalFormatting sqref="AM32">
    <cfRule type="expression" dxfId="187" priority="188">
      <formula>OR(AM32&lt;AM24,AM32&lt;AM26,AM32&lt;AM30,AM32&lt;AM31)</formula>
    </cfRule>
  </conditionalFormatting>
  <conditionalFormatting sqref="AN18:AO32">
    <cfRule type="expression" dxfId="186" priority="186">
      <formula>AND( OR(     (COLUMN()-3)/4=ROUNDDOWN((COLUMN()-3)/4,0), (COLUMN()-2)/4=ROUNDDOWN( (COLUMN()-2)/4,0 )   ), ROW()/2=ROUNDDOWN(ROW()/2,0) )</formula>
    </cfRule>
    <cfRule type="expression" dxfId="185" priority="187" stopIfTrue="1">
      <formula>AND( OR(     (COLUMN()-1)/4=ROUNDDOWN((COLUMN()-1)/4,0), (COLUMN()+0)/4=ROUNDDOWN( (COLUMN()+0)/4,0 )   ), ROW()/2=ROUNDDOWN(ROW()/2,0) )</formula>
    </cfRule>
  </conditionalFormatting>
  <conditionalFormatting sqref="AO25">
    <cfRule type="expression" dxfId="184" priority="185">
      <formula>AO25&lt;AO24</formula>
    </cfRule>
  </conditionalFormatting>
  <conditionalFormatting sqref="AO26">
    <cfRule type="expression" dxfId="183" priority="184">
      <formula>AO26&lt;AO24</formula>
    </cfRule>
  </conditionalFormatting>
  <conditionalFormatting sqref="AO27">
    <cfRule type="expression" dxfId="182" priority="183">
      <formula>OR(AO27&lt;AO24,AO27&lt;AO26)</formula>
    </cfRule>
  </conditionalFormatting>
  <conditionalFormatting sqref="AO25">
    <cfRule type="expression" dxfId="181" priority="182">
      <formula>AO25&lt;AO24</formula>
    </cfRule>
  </conditionalFormatting>
  <conditionalFormatting sqref="AO26">
    <cfRule type="expression" dxfId="180" priority="181">
      <formula>AO26&lt;AO24</formula>
    </cfRule>
  </conditionalFormatting>
  <conditionalFormatting sqref="AO27">
    <cfRule type="expression" dxfId="179" priority="180">
      <formula>OR(AO27&lt;AO24,AO27&lt;AO26)</formula>
    </cfRule>
  </conditionalFormatting>
  <conditionalFormatting sqref="AO30">
    <cfRule type="expression" dxfId="178" priority="179">
      <formula>OR(AO30&lt;AO24,AO30&lt;AO26)</formula>
    </cfRule>
  </conditionalFormatting>
  <conditionalFormatting sqref="AO31">
    <cfRule type="expression" dxfId="177" priority="178">
      <formula>OR(AO31&lt;AO24,AO31&lt;AO26,AO31&lt;AO30)</formula>
    </cfRule>
  </conditionalFormatting>
  <conditionalFormatting sqref="AO32">
    <cfRule type="expression" dxfId="176" priority="177">
      <formula>OR(AO32&lt;AO24,AO32&lt;AO26,AO32&lt;AO30,AO32&lt;AO31)</formula>
    </cfRule>
  </conditionalFormatting>
  <conditionalFormatting sqref="AO25">
    <cfRule type="expression" dxfId="175" priority="176">
      <formula>AO25&lt;AO24</formula>
    </cfRule>
  </conditionalFormatting>
  <conditionalFormatting sqref="AO26">
    <cfRule type="expression" dxfId="174" priority="175">
      <formula>AO26&lt;AO24</formula>
    </cfRule>
  </conditionalFormatting>
  <conditionalFormatting sqref="AO27">
    <cfRule type="expression" dxfId="173" priority="174">
      <formula>OR(AO27&lt;AO24,AO27&lt;AO26)</formula>
    </cfRule>
  </conditionalFormatting>
  <conditionalFormatting sqref="AO30">
    <cfRule type="expression" dxfId="172" priority="173">
      <formula>OR(AO30&lt;AO24,AO30&lt;AO26)</formula>
    </cfRule>
  </conditionalFormatting>
  <conditionalFormatting sqref="AO31">
    <cfRule type="expression" dxfId="171" priority="172">
      <formula>OR(AO31&lt;AO24,AO31&lt;AO26,AO31&lt;AO30)</formula>
    </cfRule>
  </conditionalFormatting>
  <conditionalFormatting sqref="AO32">
    <cfRule type="expression" dxfId="170" priority="171">
      <formula>OR(AO32&lt;AO24,AO32&lt;AO26,AO32&lt;AO30,AO32&lt;AO31)</formula>
    </cfRule>
  </conditionalFormatting>
  <conditionalFormatting sqref="AP18:AQ32">
    <cfRule type="expression" dxfId="169" priority="169">
      <formula>AND( OR(     (COLUMN()-3)/4=ROUNDDOWN((COLUMN()-3)/4,0), (COLUMN()-2)/4=ROUNDDOWN( (COLUMN()-2)/4,0 )   ), ROW()/2=ROUNDDOWN(ROW()/2,0) )</formula>
    </cfRule>
    <cfRule type="expression" dxfId="168" priority="170" stopIfTrue="1">
      <formula>AND( OR(     (COLUMN()-1)/4=ROUNDDOWN((COLUMN()-1)/4,0), (COLUMN()+0)/4=ROUNDDOWN( (COLUMN()+0)/4,0 )   ), ROW()/2=ROUNDDOWN(ROW()/2,0) )</formula>
    </cfRule>
  </conditionalFormatting>
  <conditionalFormatting sqref="AQ25">
    <cfRule type="expression" dxfId="167" priority="168">
      <formula>AQ25&lt;AQ24</formula>
    </cfRule>
  </conditionalFormatting>
  <conditionalFormatting sqref="AQ26">
    <cfRule type="expression" dxfId="166" priority="167">
      <formula>AQ26&lt;AQ24</formula>
    </cfRule>
  </conditionalFormatting>
  <conditionalFormatting sqref="AQ27">
    <cfRule type="expression" dxfId="165" priority="166">
      <formula>OR(AQ27&lt;AQ24,AQ27&lt;AQ26)</formula>
    </cfRule>
  </conditionalFormatting>
  <conditionalFormatting sqref="AQ25">
    <cfRule type="expression" dxfId="164" priority="165">
      <formula>AQ25&lt;AQ24</formula>
    </cfRule>
  </conditionalFormatting>
  <conditionalFormatting sqref="AQ26">
    <cfRule type="expression" dxfId="163" priority="164">
      <formula>AQ26&lt;AQ24</formula>
    </cfRule>
  </conditionalFormatting>
  <conditionalFormatting sqref="AQ27">
    <cfRule type="expression" dxfId="162" priority="163">
      <formula>OR(AQ27&lt;AQ24,AQ27&lt;AQ26)</formula>
    </cfRule>
  </conditionalFormatting>
  <conditionalFormatting sqref="AQ30">
    <cfRule type="expression" dxfId="161" priority="162">
      <formula>OR(AQ30&lt;AQ24,AQ30&lt;AQ26)</formula>
    </cfRule>
  </conditionalFormatting>
  <conditionalFormatting sqref="AQ31">
    <cfRule type="expression" dxfId="160" priority="161">
      <formula>OR(AQ31&lt;AQ24,AQ31&lt;AQ26,AQ31&lt;AQ30)</formula>
    </cfRule>
  </conditionalFormatting>
  <conditionalFormatting sqref="AQ32">
    <cfRule type="expression" dxfId="159" priority="160">
      <formula>OR(AQ32&lt;AQ24,AQ32&lt;AQ26,AQ32&lt;AQ30,AQ32&lt;AQ31)</formula>
    </cfRule>
  </conditionalFormatting>
  <conditionalFormatting sqref="AQ25">
    <cfRule type="expression" dxfId="158" priority="159">
      <formula>AQ25&lt;AQ24</formula>
    </cfRule>
  </conditionalFormatting>
  <conditionalFormatting sqref="AQ26">
    <cfRule type="expression" dxfId="157" priority="158">
      <formula>AQ26&lt;AQ24</formula>
    </cfRule>
  </conditionalFormatting>
  <conditionalFormatting sqref="AQ27">
    <cfRule type="expression" dxfId="156" priority="157">
      <formula>OR(AQ27&lt;AQ24,AQ27&lt;AQ26)</formula>
    </cfRule>
  </conditionalFormatting>
  <conditionalFormatting sqref="AQ30">
    <cfRule type="expression" dxfId="155" priority="156">
      <formula>OR(AQ30&lt;AQ24,AQ30&lt;AQ26)</formula>
    </cfRule>
  </conditionalFormatting>
  <conditionalFormatting sqref="AQ31">
    <cfRule type="expression" dxfId="154" priority="155">
      <formula>OR(AQ31&lt;AQ24,AQ31&lt;AQ26,AQ31&lt;AQ30)</formula>
    </cfRule>
  </conditionalFormatting>
  <conditionalFormatting sqref="AQ32">
    <cfRule type="expression" dxfId="153" priority="154">
      <formula>OR(AQ32&lt;AQ24,AQ32&lt;AQ26,AQ32&lt;AQ30,AQ32&lt;AQ31)</formula>
    </cfRule>
  </conditionalFormatting>
  <conditionalFormatting sqref="AR18:AS32">
    <cfRule type="expression" dxfId="152" priority="152">
      <formula>AND( OR(     (COLUMN()-3)/4=ROUNDDOWN((COLUMN()-3)/4,0), (COLUMN()-2)/4=ROUNDDOWN( (COLUMN()-2)/4,0 )   ), ROW()/2=ROUNDDOWN(ROW()/2,0) )</formula>
    </cfRule>
    <cfRule type="expression" dxfId="151" priority="153" stopIfTrue="1">
      <formula>AND( OR(     (COLUMN()-1)/4=ROUNDDOWN((COLUMN()-1)/4,0), (COLUMN()+0)/4=ROUNDDOWN( (COLUMN()+0)/4,0 )   ), ROW()/2=ROUNDDOWN(ROW()/2,0) )</formula>
    </cfRule>
  </conditionalFormatting>
  <conditionalFormatting sqref="AS25">
    <cfRule type="expression" dxfId="150" priority="151">
      <formula>AS25&lt;AS24</formula>
    </cfRule>
  </conditionalFormatting>
  <conditionalFormatting sqref="AS26">
    <cfRule type="expression" dxfId="149" priority="150">
      <formula>AS26&lt;AS24</formula>
    </cfRule>
  </conditionalFormatting>
  <conditionalFormatting sqref="AS27">
    <cfRule type="expression" dxfId="148" priority="149">
      <formula>OR(AS27&lt;AS24,AS27&lt;AS26)</formula>
    </cfRule>
  </conditionalFormatting>
  <conditionalFormatting sqref="AS25">
    <cfRule type="expression" dxfId="147" priority="148">
      <formula>AS25&lt;AS24</formula>
    </cfRule>
  </conditionalFormatting>
  <conditionalFormatting sqref="AS26">
    <cfRule type="expression" dxfId="146" priority="147">
      <formula>AS26&lt;AS24</formula>
    </cfRule>
  </conditionalFormatting>
  <conditionalFormatting sqref="AS27">
    <cfRule type="expression" dxfId="145" priority="146">
      <formula>OR(AS27&lt;AS24,AS27&lt;AS26)</formula>
    </cfRule>
  </conditionalFormatting>
  <conditionalFormatting sqref="AS30">
    <cfRule type="expression" dxfId="144" priority="145">
      <formula>OR(AS30&lt;AS24,AS30&lt;AS26)</formula>
    </cfRule>
  </conditionalFormatting>
  <conditionalFormatting sqref="AS31">
    <cfRule type="expression" dxfId="143" priority="144">
      <formula>OR(AS31&lt;AS24,AS31&lt;AS26,AS31&lt;AS30)</formula>
    </cfRule>
  </conditionalFormatting>
  <conditionalFormatting sqref="AS32">
    <cfRule type="expression" dxfId="142" priority="143">
      <formula>OR(AS32&lt;AS24,AS32&lt;AS26,AS32&lt;AS30,AS32&lt;AS31)</formula>
    </cfRule>
  </conditionalFormatting>
  <conditionalFormatting sqref="AS25">
    <cfRule type="expression" dxfId="141" priority="142">
      <formula>AS25&lt;AS24</formula>
    </cfRule>
  </conditionalFormatting>
  <conditionalFormatting sqref="AS26">
    <cfRule type="expression" dxfId="140" priority="141">
      <formula>AS26&lt;AS24</formula>
    </cfRule>
  </conditionalFormatting>
  <conditionalFormatting sqref="AS27">
    <cfRule type="expression" dxfId="139" priority="140">
      <formula>OR(AS27&lt;AS24,AS27&lt;AS26)</formula>
    </cfRule>
  </conditionalFormatting>
  <conditionalFormatting sqref="AS30">
    <cfRule type="expression" dxfId="138" priority="139">
      <formula>OR(AS30&lt;AS24,AS30&lt;AS26)</formula>
    </cfRule>
  </conditionalFormatting>
  <conditionalFormatting sqref="AS31">
    <cfRule type="expression" dxfId="137" priority="138">
      <formula>OR(AS31&lt;AS24,AS31&lt;AS26,AS31&lt;AS30)</formula>
    </cfRule>
  </conditionalFormatting>
  <conditionalFormatting sqref="AS32">
    <cfRule type="expression" dxfId="136" priority="137">
      <formula>OR(AS32&lt;AS24,AS32&lt;AS26,AS32&lt;AS30,AS32&lt;AS31)</formula>
    </cfRule>
  </conditionalFormatting>
  <conditionalFormatting sqref="AT18:AU32">
    <cfRule type="expression" dxfId="135" priority="135">
      <formula>AND( OR(     (COLUMN()-3)/4=ROUNDDOWN((COLUMN()-3)/4,0), (COLUMN()-2)/4=ROUNDDOWN( (COLUMN()-2)/4,0 )   ), ROW()/2=ROUNDDOWN(ROW()/2,0) )</formula>
    </cfRule>
    <cfRule type="expression" dxfId="134" priority="136" stopIfTrue="1">
      <formula>AND( OR(     (COLUMN()-1)/4=ROUNDDOWN((COLUMN()-1)/4,0), (COLUMN()+0)/4=ROUNDDOWN( (COLUMN()+0)/4,0 )   ), ROW()/2=ROUNDDOWN(ROW()/2,0) )</formula>
    </cfRule>
  </conditionalFormatting>
  <conditionalFormatting sqref="AU25">
    <cfRule type="expression" dxfId="133" priority="134">
      <formula>AU25&lt;AU24</formula>
    </cfRule>
  </conditionalFormatting>
  <conditionalFormatting sqref="AU26">
    <cfRule type="expression" dxfId="132" priority="133">
      <formula>AU26&lt;AU24</formula>
    </cfRule>
  </conditionalFormatting>
  <conditionalFormatting sqref="AU27">
    <cfRule type="expression" dxfId="131" priority="132">
      <formula>OR(AU27&lt;AU24,AU27&lt;AU26)</formula>
    </cfRule>
  </conditionalFormatting>
  <conditionalFormatting sqref="AU25">
    <cfRule type="expression" dxfId="130" priority="131">
      <formula>AU25&lt;AU24</formula>
    </cfRule>
  </conditionalFormatting>
  <conditionalFormatting sqref="AU26">
    <cfRule type="expression" dxfId="129" priority="130">
      <formula>AU26&lt;AU24</formula>
    </cfRule>
  </conditionalFormatting>
  <conditionalFormatting sqref="AU27">
    <cfRule type="expression" dxfId="128" priority="129">
      <formula>OR(AU27&lt;AU24,AU27&lt;AU26)</formula>
    </cfRule>
  </conditionalFormatting>
  <conditionalFormatting sqref="AU30">
    <cfRule type="expression" dxfId="127" priority="128">
      <formula>OR(AU30&lt;AU24,AU30&lt;AU26)</formula>
    </cfRule>
  </conditionalFormatting>
  <conditionalFormatting sqref="AU31">
    <cfRule type="expression" dxfId="126" priority="127">
      <formula>OR(AU31&lt;AU24,AU31&lt;AU26,AU31&lt;AU30)</formula>
    </cfRule>
  </conditionalFormatting>
  <conditionalFormatting sqref="AU32">
    <cfRule type="expression" dxfId="125" priority="126">
      <formula>OR(AU32&lt;AU24,AU32&lt;AU26,AU32&lt;AU30,AU32&lt;AU31)</formula>
    </cfRule>
  </conditionalFormatting>
  <conditionalFormatting sqref="AU25">
    <cfRule type="expression" dxfId="124" priority="125">
      <formula>AU25&lt;AU24</formula>
    </cfRule>
  </conditionalFormatting>
  <conditionalFormatting sqref="AU26">
    <cfRule type="expression" dxfId="123" priority="124">
      <formula>AU26&lt;AU24</formula>
    </cfRule>
  </conditionalFormatting>
  <conditionalFormatting sqref="AU27">
    <cfRule type="expression" dxfId="122" priority="123">
      <formula>OR(AU27&lt;AU24,AU27&lt;AU26)</formula>
    </cfRule>
  </conditionalFormatting>
  <conditionalFormatting sqref="AU30">
    <cfRule type="expression" dxfId="121" priority="122">
      <formula>OR(AU30&lt;AU24,AU30&lt;AU26)</formula>
    </cfRule>
  </conditionalFormatting>
  <conditionalFormatting sqref="AU31">
    <cfRule type="expression" dxfId="120" priority="121">
      <formula>OR(AU31&lt;AU24,AU31&lt;AU26,AU31&lt;AU30)</formula>
    </cfRule>
  </conditionalFormatting>
  <conditionalFormatting sqref="AU32">
    <cfRule type="expression" dxfId="119" priority="120">
      <formula>OR(AU32&lt;AU24,AU32&lt;AU26,AU32&lt;AU30,AU32&lt;AU31)</formula>
    </cfRule>
  </conditionalFormatting>
  <conditionalFormatting sqref="AV18:AW32">
    <cfRule type="expression" dxfId="118" priority="118">
      <formula>AND( OR(     (COLUMN()-3)/4=ROUNDDOWN((COLUMN()-3)/4,0), (COLUMN()-2)/4=ROUNDDOWN( (COLUMN()-2)/4,0 )   ), ROW()/2=ROUNDDOWN(ROW()/2,0) )</formula>
    </cfRule>
    <cfRule type="expression" dxfId="117" priority="119" stopIfTrue="1">
      <formula>AND( OR(     (COLUMN()-1)/4=ROUNDDOWN((COLUMN()-1)/4,0), (COLUMN()+0)/4=ROUNDDOWN( (COLUMN()+0)/4,0 )   ), ROW()/2=ROUNDDOWN(ROW()/2,0) )</formula>
    </cfRule>
  </conditionalFormatting>
  <conditionalFormatting sqref="AW25">
    <cfRule type="expression" dxfId="116" priority="117">
      <formula>AW25&lt;AW24</formula>
    </cfRule>
  </conditionalFormatting>
  <conditionalFormatting sqref="AW26">
    <cfRule type="expression" dxfId="115" priority="116">
      <formula>AW26&lt;AW24</formula>
    </cfRule>
  </conditionalFormatting>
  <conditionalFormatting sqref="AW27">
    <cfRule type="expression" dxfId="114" priority="115">
      <formula>OR(AW27&lt;AW24,AW27&lt;AW26)</formula>
    </cfRule>
  </conditionalFormatting>
  <conditionalFormatting sqref="AW25">
    <cfRule type="expression" dxfId="113" priority="114">
      <formula>AW25&lt;AW24</formula>
    </cfRule>
  </conditionalFormatting>
  <conditionalFormatting sqref="AW26">
    <cfRule type="expression" dxfId="112" priority="113">
      <formula>AW26&lt;AW24</formula>
    </cfRule>
  </conditionalFormatting>
  <conditionalFormatting sqref="AW27">
    <cfRule type="expression" dxfId="111" priority="112">
      <formula>OR(AW27&lt;AW24,AW27&lt;AW26)</formula>
    </cfRule>
  </conditionalFormatting>
  <conditionalFormatting sqref="AW30">
    <cfRule type="expression" dxfId="110" priority="111">
      <formula>OR(AW30&lt;AW24,AW30&lt;AW26)</formula>
    </cfRule>
  </conditionalFormatting>
  <conditionalFormatting sqref="AW31">
    <cfRule type="expression" dxfId="109" priority="110">
      <formula>OR(AW31&lt;AW24,AW31&lt;AW26,AW31&lt;AW30)</formula>
    </cfRule>
  </conditionalFormatting>
  <conditionalFormatting sqref="AW32">
    <cfRule type="expression" dxfId="108" priority="109">
      <formula>OR(AW32&lt;AW24,AW32&lt;AW26,AW32&lt;AW30,AW32&lt;AW31)</formula>
    </cfRule>
  </conditionalFormatting>
  <conditionalFormatting sqref="AW25">
    <cfRule type="expression" dxfId="107" priority="108">
      <formula>AW25&lt;AW24</formula>
    </cfRule>
  </conditionalFormatting>
  <conditionalFormatting sqref="AW26">
    <cfRule type="expression" dxfId="106" priority="107">
      <formula>AW26&lt;AW24</formula>
    </cfRule>
  </conditionalFormatting>
  <conditionalFormatting sqref="AW27">
    <cfRule type="expression" dxfId="105" priority="106">
      <formula>OR(AW27&lt;AW24,AW27&lt;AW26)</formula>
    </cfRule>
  </conditionalFormatting>
  <conditionalFormatting sqref="AW30">
    <cfRule type="expression" dxfId="104" priority="105">
      <formula>OR(AW30&lt;AW24,AW30&lt;AW26)</formula>
    </cfRule>
  </conditionalFormatting>
  <conditionalFormatting sqref="AW31">
    <cfRule type="expression" dxfId="103" priority="104">
      <formula>OR(AW31&lt;AW24,AW31&lt;AW26,AW31&lt;AW30)</formula>
    </cfRule>
  </conditionalFormatting>
  <conditionalFormatting sqref="AW32">
    <cfRule type="expression" dxfId="102" priority="103">
      <formula>OR(AW32&lt;AW24,AW32&lt;AW26,AW32&lt;AW30,AW32&lt;AW31)</formula>
    </cfRule>
  </conditionalFormatting>
  <conditionalFormatting sqref="AX18:AY32">
    <cfRule type="expression" dxfId="101" priority="101">
      <formula>AND( OR(     (COLUMN()-3)/4=ROUNDDOWN((COLUMN()-3)/4,0), (COLUMN()-2)/4=ROUNDDOWN( (COLUMN()-2)/4,0 )   ), ROW()/2=ROUNDDOWN(ROW()/2,0) )</formula>
    </cfRule>
    <cfRule type="expression" dxfId="100" priority="102" stopIfTrue="1">
      <formula>AND( OR(     (COLUMN()-1)/4=ROUNDDOWN((COLUMN()-1)/4,0), (COLUMN()+0)/4=ROUNDDOWN( (COLUMN()+0)/4,0 )   ), ROW()/2=ROUNDDOWN(ROW()/2,0) )</formula>
    </cfRule>
  </conditionalFormatting>
  <conditionalFormatting sqref="AY25">
    <cfRule type="expression" dxfId="99" priority="100">
      <formula>AY25&lt;AY24</formula>
    </cfRule>
  </conditionalFormatting>
  <conditionalFormatting sqref="AY26">
    <cfRule type="expression" dxfId="98" priority="99">
      <formula>AY26&lt;AY24</formula>
    </cfRule>
  </conditionalFormatting>
  <conditionalFormatting sqref="AY27">
    <cfRule type="expression" dxfId="97" priority="98">
      <formula>OR(AY27&lt;AY24,AY27&lt;AY26)</formula>
    </cfRule>
  </conditionalFormatting>
  <conditionalFormatting sqref="AY25">
    <cfRule type="expression" dxfId="96" priority="97">
      <formula>AY25&lt;AY24</formula>
    </cfRule>
  </conditionalFormatting>
  <conditionalFormatting sqref="AY26">
    <cfRule type="expression" dxfId="95" priority="96">
      <formula>AY26&lt;AY24</formula>
    </cfRule>
  </conditionalFormatting>
  <conditionalFormatting sqref="AY27">
    <cfRule type="expression" dxfId="94" priority="95">
      <formula>OR(AY27&lt;AY24,AY27&lt;AY26)</formula>
    </cfRule>
  </conditionalFormatting>
  <conditionalFormatting sqref="AY30">
    <cfRule type="expression" dxfId="93" priority="94">
      <formula>OR(AY30&lt;AY24,AY30&lt;AY26)</formula>
    </cfRule>
  </conditionalFormatting>
  <conditionalFormatting sqref="AY31">
    <cfRule type="expression" dxfId="92" priority="93">
      <formula>OR(AY31&lt;AY24,AY31&lt;AY26,AY31&lt;AY30)</formula>
    </cfRule>
  </conditionalFormatting>
  <conditionalFormatting sqref="AY32">
    <cfRule type="expression" dxfId="91" priority="92">
      <formula>OR(AY32&lt;AY24,AY32&lt;AY26,AY32&lt;AY30,AY32&lt;AY31)</formula>
    </cfRule>
  </conditionalFormatting>
  <conditionalFormatting sqref="AY25">
    <cfRule type="expression" dxfId="90" priority="91">
      <formula>AY25&lt;AY24</formula>
    </cfRule>
  </conditionalFormatting>
  <conditionalFormatting sqref="AY26">
    <cfRule type="expression" dxfId="89" priority="90">
      <formula>AY26&lt;AY24</formula>
    </cfRule>
  </conditionalFormatting>
  <conditionalFormatting sqref="AY27">
    <cfRule type="expression" dxfId="88" priority="89">
      <formula>OR(AY27&lt;AY24,AY27&lt;AY26)</formula>
    </cfRule>
  </conditionalFormatting>
  <conditionalFormatting sqref="AY30">
    <cfRule type="expression" dxfId="87" priority="88">
      <formula>OR(AY30&lt;AY24,AY30&lt;AY26)</formula>
    </cfRule>
  </conditionalFormatting>
  <conditionalFormatting sqref="AY31">
    <cfRule type="expression" dxfId="86" priority="87">
      <formula>OR(AY31&lt;AY24,AY31&lt;AY26,AY31&lt;AY30)</formula>
    </cfRule>
  </conditionalFormatting>
  <conditionalFormatting sqref="AY32">
    <cfRule type="expression" dxfId="85" priority="86">
      <formula>OR(AY32&lt;AY24,AY32&lt;AY26,AY32&lt;AY30,AY32&lt;AY31)</formula>
    </cfRule>
  </conditionalFormatting>
  <conditionalFormatting sqref="AZ18:BA32">
    <cfRule type="expression" dxfId="84" priority="84">
      <formula>AND( OR(     (COLUMN()-3)/4=ROUNDDOWN((COLUMN()-3)/4,0), (COLUMN()-2)/4=ROUNDDOWN( (COLUMN()-2)/4,0 )   ), ROW()/2=ROUNDDOWN(ROW()/2,0) )</formula>
    </cfRule>
    <cfRule type="expression" dxfId="83" priority="85" stopIfTrue="1">
      <formula>AND( OR(     (COLUMN()-1)/4=ROUNDDOWN((COLUMN()-1)/4,0), (COLUMN()+0)/4=ROUNDDOWN( (COLUMN()+0)/4,0 )   ), ROW()/2=ROUNDDOWN(ROW()/2,0) )</formula>
    </cfRule>
  </conditionalFormatting>
  <conditionalFormatting sqref="BA25">
    <cfRule type="expression" dxfId="82" priority="83">
      <formula>BA25&lt;BA24</formula>
    </cfRule>
  </conditionalFormatting>
  <conditionalFormatting sqref="BA26">
    <cfRule type="expression" dxfId="81" priority="82">
      <formula>BA26&lt;BA24</formula>
    </cfRule>
  </conditionalFormatting>
  <conditionalFormatting sqref="BA27">
    <cfRule type="expression" dxfId="80" priority="81">
      <formula>OR(BA27&lt;BA24,BA27&lt;BA26)</formula>
    </cfRule>
  </conditionalFormatting>
  <conditionalFormatting sqref="BA25">
    <cfRule type="expression" dxfId="79" priority="80">
      <formula>BA25&lt;BA24</formula>
    </cfRule>
  </conditionalFormatting>
  <conditionalFormatting sqref="BA26">
    <cfRule type="expression" dxfId="78" priority="79">
      <formula>BA26&lt;BA24</formula>
    </cfRule>
  </conditionalFormatting>
  <conditionalFormatting sqref="BA27">
    <cfRule type="expression" dxfId="77" priority="78">
      <formula>OR(BA27&lt;BA24,BA27&lt;BA26)</formula>
    </cfRule>
  </conditionalFormatting>
  <conditionalFormatting sqref="BA30">
    <cfRule type="expression" dxfId="76" priority="77">
      <formula>OR(BA30&lt;BA24,BA30&lt;BA26)</formula>
    </cfRule>
  </conditionalFormatting>
  <conditionalFormatting sqref="BA31">
    <cfRule type="expression" dxfId="75" priority="76">
      <formula>OR(BA31&lt;BA24,BA31&lt;BA26,BA31&lt;BA30)</formula>
    </cfRule>
  </conditionalFormatting>
  <conditionalFormatting sqref="BA32">
    <cfRule type="expression" dxfId="74" priority="75">
      <formula>OR(BA32&lt;BA24,BA32&lt;BA26,BA32&lt;BA30,BA32&lt;BA31)</formula>
    </cfRule>
  </conditionalFormatting>
  <conditionalFormatting sqref="BA25">
    <cfRule type="expression" dxfId="73" priority="74">
      <formula>BA25&lt;BA24</formula>
    </cfRule>
  </conditionalFormatting>
  <conditionalFormatting sqref="BA26">
    <cfRule type="expression" dxfId="72" priority="73">
      <formula>BA26&lt;BA24</formula>
    </cfRule>
  </conditionalFormatting>
  <conditionalFormatting sqref="BA27">
    <cfRule type="expression" dxfId="71" priority="72">
      <formula>OR(BA27&lt;BA24,BA27&lt;BA26)</formula>
    </cfRule>
  </conditionalFormatting>
  <conditionalFormatting sqref="BA30">
    <cfRule type="expression" dxfId="70" priority="71">
      <formula>OR(BA30&lt;BA24,BA30&lt;BA26)</formula>
    </cfRule>
  </conditionalFormatting>
  <conditionalFormatting sqref="BA31">
    <cfRule type="expression" dxfId="69" priority="70">
      <formula>OR(BA31&lt;BA24,BA31&lt;BA26,BA31&lt;BA30)</formula>
    </cfRule>
  </conditionalFormatting>
  <conditionalFormatting sqref="BA32">
    <cfRule type="expression" dxfId="68" priority="69">
      <formula>OR(BA32&lt;BA24,BA32&lt;BA26,BA32&lt;BA30,BA32&lt;BA31)</formula>
    </cfRule>
  </conditionalFormatting>
  <conditionalFormatting sqref="BB18:BC32">
    <cfRule type="expression" dxfId="67" priority="67">
      <formula>AND( OR(     (COLUMN()-3)/4=ROUNDDOWN((COLUMN()-3)/4,0), (COLUMN()-2)/4=ROUNDDOWN( (COLUMN()-2)/4,0 )   ), ROW()/2=ROUNDDOWN(ROW()/2,0) )</formula>
    </cfRule>
    <cfRule type="expression" dxfId="66" priority="68" stopIfTrue="1">
      <formula>AND( OR(     (COLUMN()-1)/4=ROUNDDOWN((COLUMN()-1)/4,0), (COLUMN()+0)/4=ROUNDDOWN( (COLUMN()+0)/4,0 )   ), ROW()/2=ROUNDDOWN(ROW()/2,0) )</formula>
    </cfRule>
  </conditionalFormatting>
  <conditionalFormatting sqref="BC25">
    <cfRule type="expression" dxfId="65" priority="66">
      <formula>BC25&lt;BC24</formula>
    </cfRule>
  </conditionalFormatting>
  <conditionalFormatting sqref="BC26">
    <cfRule type="expression" dxfId="64" priority="65">
      <formula>BC26&lt;BC24</formula>
    </cfRule>
  </conditionalFormatting>
  <conditionalFormatting sqref="BC27">
    <cfRule type="expression" dxfId="63" priority="64">
      <formula>OR(BC27&lt;BC24,BC27&lt;BC26)</formula>
    </cfRule>
  </conditionalFormatting>
  <conditionalFormatting sqref="BC25">
    <cfRule type="expression" dxfId="62" priority="63">
      <formula>BC25&lt;BC24</formula>
    </cfRule>
  </conditionalFormatting>
  <conditionalFormatting sqref="BC26">
    <cfRule type="expression" dxfId="61" priority="62">
      <formula>BC26&lt;BC24</formula>
    </cfRule>
  </conditionalFormatting>
  <conditionalFormatting sqref="BC27">
    <cfRule type="expression" dxfId="60" priority="61">
      <formula>OR(BC27&lt;BC24,BC27&lt;BC26)</formula>
    </cfRule>
  </conditionalFormatting>
  <conditionalFormatting sqref="BC30">
    <cfRule type="expression" dxfId="59" priority="60">
      <formula>OR(BC30&lt;BC24,BC30&lt;BC26)</formula>
    </cfRule>
  </conditionalFormatting>
  <conditionalFormatting sqref="BC31">
    <cfRule type="expression" dxfId="58" priority="59">
      <formula>OR(BC31&lt;BC24,BC31&lt;BC26,BC31&lt;BC30)</formula>
    </cfRule>
  </conditionalFormatting>
  <conditionalFormatting sqref="BC32">
    <cfRule type="expression" dxfId="57" priority="58">
      <formula>OR(BC32&lt;BC24,BC32&lt;BC26,BC32&lt;BC30,BC32&lt;BC31)</formula>
    </cfRule>
  </conditionalFormatting>
  <conditionalFormatting sqref="BC25">
    <cfRule type="expression" dxfId="56" priority="57">
      <formula>BC25&lt;BC24</formula>
    </cfRule>
  </conditionalFormatting>
  <conditionalFormatting sqref="BC26">
    <cfRule type="expression" dxfId="55" priority="56">
      <formula>BC26&lt;BC24</formula>
    </cfRule>
  </conditionalFormatting>
  <conditionalFormatting sqref="BC27">
    <cfRule type="expression" dxfId="54" priority="55">
      <formula>OR(BC27&lt;BC24,BC27&lt;BC26)</formula>
    </cfRule>
  </conditionalFormatting>
  <conditionalFormatting sqref="BC30">
    <cfRule type="expression" dxfId="53" priority="54">
      <formula>OR(BC30&lt;BC24,BC30&lt;BC26)</formula>
    </cfRule>
  </conditionalFormatting>
  <conditionalFormatting sqref="BC31">
    <cfRule type="expression" dxfId="52" priority="53">
      <formula>OR(BC31&lt;BC24,BC31&lt;BC26,BC31&lt;BC30)</formula>
    </cfRule>
  </conditionalFormatting>
  <conditionalFormatting sqref="BC32">
    <cfRule type="expression" dxfId="51" priority="52">
      <formula>OR(BC32&lt;BC24,BC32&lt;BC26,BC32&lt;BC30,BC32&lt;BC31)</formula>
    </cfRule>
  </conditionalFormatting>
  <conditionalFormatting sqref="BD18:BE32">
    <cfRule type="expression" dxfId="50" priority="50">
      <formula>AND( OR(     (COLUMN()-3)/4=ROUNDDOWN((COLUMN()-3)/4,0), (COLUMN()-2)/4=ROUNDDOWN( (COLUMN()-2)/4,0 )   ), ROW()/2=ROUNDDOWN(ROW()/2,0) )</formula>
    </cfRule>
    <cfRule type="expression" dxfId="49" priority="51" stopIfTrue="1">
      <formula>AND( OR(     (COLUMN()-1)/4=ROUNDDOWN((COLUMN()-1)/4,0), (COLUMN()+0)/4=ROUNDDOWN( (COLUMN()+0)/4,0 )   ), ROW()/2=ROUNDDOWN(ROW()/2,0) )</formula>
    </cfRule>
  </conditionalFormatting>
  <conditionalFormatting sqref="BE25">
    <cfRule type="expression" dxfId="48" priority="49">
      <formula>BE25&lt;BE24</formula>
    </cfRule>
  </conditionalFormatting>
  <conditionalFormatting sqref="BE26">
    <cfRule type="expression" dxfId="47" priority="48">
      <formula>BE26&lt;BE24</formula>
    </cfRule>
  </conditionalFormatting>
  <conditionalFormatting sqref="BE27">
    <cfRule type="expression" dxfId="46" priority="47">
      <formula>OR(BE27&lt;BE24,BE27&lt;BE26)</formula>
    </cfRule>
  </conditionalFormatting>
  <conditionalFormatting sqref="BE25">
    <cfRule type="expression" dxfId="45" priority="46">
      <formula>BE25&lt;BE24</formula>
    </cfRule>
  </conditionalFormatting>
  <conditionalFormatting sqref="BE26">
    <cfRule type="expression" dxfId="44" priority="45">
      <formula>BE26&lt;BE24</formula>
    </cfRule>
  </conditionalFormatting>
  <conditionalFormatting sqref="BE27">
    <cfRule type="expression" dxfId="43" priority="44">
      <formula>OR(BE27&lt;BE24,BE27&lt;BE26)</formula>
    </cfRule>
  </conditionalFormatting>
  <conditionalFormatting sqref="BE30">
    <cfRule type="expression" dxfId="42" priority="43">
      <formula>OR(BE30&lt;BE24,BE30&lt;BE26)</formula>
    </cfRule>
  </conditionalFormatting>
  <conditionalFormatting sqref="BE31">
    <cfRule type="expression" dxfId="41" priority="42">
      <formula>OR(BE31&lt;BE24,BE31&lt;BE26,BE31&lt;BE30)</formula>
    </cfRule>
  </conditionalFormatting>
  <conditionalFormatting sqref="BE32">
    <cfRule type="expression" dxfId="40" priority="41">
      <formula>OR(BE32&lt;BE24,BE32&lt;BE26,BE32&lt;BE30,BE32&lt;BE31)</formula>
    </cfRule>
  </conditionalFormatting>
  <conditionalFormatting sqref="BE25">
    <cfRule type="expression" dxfId="39" priority="40">
      <formula>BE25&lt;BE24</formula>
    </cfRule>
  </conditionalFormatting>
  <conditionalFormatting sqref="BE26">
    <cfRule type="expression" dxfId="38" priority="39">
      <formula>BE26&lt;BE24</formula>
    </cfRule>
  </conditionalFormatting>
  <conditionalFormatting sqref="BE27">
    <cfRule type="expression" dxfId="37" priority="38">
      <formula>OR(BE27&lt;BE24,BE27&lt;BE26)</formula>
    </cfRule>
  </conditionalFormatting>
  <conditionalFormatting sqref="BE30">
    <cfRule type="expression" dxfId="36" priority="37">
      <formula>OR(BE30&lt;BE24,BE30&lt;BE26)</formula>
    </cfRule>
  </conditionalFormatting>
  <conditionalFormatting sqref="BE31">
    <cfRule type="expression" dxfId="35" priority="36">
      <formula>OR(BE31&lt;BE24,BE31&lt;BE26,BE31&lt;BE30)</formula>
    </cfRule>
  </conditionalFormatting>
  <conditionalFormatting sqref="BE32">
    <cfRule type="expression" dxfId="34" priority="35">
      <formula>OR(BE32&lt;BE24,BE32&lt;BE26,BE32&lt;BE30,BE32&lt;BE31)</formula>
    </cfRule>
  </conditionalFormatting>
  <conditionalFormatting sqref="BF18:BG32">
    <cfRule type="expression" dxfId="33" priority="33">
      <formula>AND( OR(     (COLUMN()-3)/4=ROUNDDOWN((COLUMN()-3)/4,0), (COLUMN()-2)/4=ROUNDDOWN( (COLUMN()-2)/4,0 )   ), ROW()/2=ROUNDDOWN(ROW()/2,0) )</formula>
    </cfRule>
    <cfRule type="expression" dxfId="32" priority="34" stopIfTrue="1">
      <formula>AND( OR(     (COLUMN()-1)/4=ROUNDDOWN((COLUMN()-1)/4,0), (COLUMN()+0)/4=ROUNDDOWN( (COLUMN()+0)/4,0 )   ), ROW()/2=ROUNDDOWN(ROW()/2,0) )</formula>
    </cfRule>
  </conditionalFormatting>
  <conditionalFormatting sqref="BG25">
    <cfRule type="expression" dxfId="31" priority="32">
      <formula>BG25&lt;BG24</formula>
    </cfRule>
  </conditionalFormatting>
  <conditionalFormatting sqref="BG26">
    <cfRule type="expression" dxfId="30" priority="31">
      <formula>BG26&lt;BG24</formula>
    </cfRule>
  </conditionalFormatting>
  <conditionalFormatting sqref="BG27">
    <cfRule type="expression" dxfId="29" priority="30">
      <formula>OR(BG27&lt;BG24,BG27&lt;BG26)</formula>
    </cfRule>
  </conditionalFormatting>
  <conditionalFormatting sqref="BG25">
    <cfRule type="expression" dxfId="28" priority="29">
      <formula>BG25&lt;BG24</formula>
    </cfRule>
  </conditionalFormatting>
  <conditionalFormatting sqref="BG26">
    <cfRule type="expression" dxfId="27" priority="28">
      <formula>BG26&lt;BG24</formula>
    </cfRule>
  </conditionalFormatting>
  <conditionalFormatting sqref="BG27">
    <cfRule type="expression" dxfId="26" priority="27">
      <formula>OR(BG27&lt;BG24,BG27&lt;BG26)</formula>
    </cfRule>
  </conditionalFormatting>
  <conditionalFormatting sqref="BG30">
    <cfRule type="expression" dxfId="25" priority="26">
      <formula>OR(BG30&lt;BG24,BG30&lt;BG26)</formula>
    </cfRule>
  </conditionalFormatting>
  <conditionalFormatting sqref="BG31">
    <cfRule type="expression" dxfId="24" priority="25">
      <formula>OR(BG31&lt;BG24,BG31&lt;BG26,BG31&lt;BG30)</formula>
    </cfRule>
  </conditionalFormatting>
  <conditionalFormatting sqref="BG32">
    <cfRule type="expression" dxfId="23" priority="24">
      <formula>OR(BG32&lt;BG24,BG32&lt;BG26,BG32&lt;BG30,BG32&lt;BG31)</formula>
    </cfRule>
  </conditionalFormatting>
  <conditionalFormatting sqref="BG25">
    <cfRule type="expression" dxfId="22" priority="23">
      <formula>BG25&lt;BG24</formula>
    </cfRule>
  </conditionalFormatting>
  <conditionalFormatting sqref="BG26">
    <cfRule type="expression" dxfId="21" priority="22">
      <formula>BG26&lt;BG24</formula>
    </cfRule>
  </conditionalFormatting>
  <conditionalFormatting sqref="BG27">
    <cfRule type="expression" dxfId="20" priority="21">
      <formula>OR(BG27&lt;BG24,BG27&lt;BG26)</formula>
    </cfRule>
  </conditionalFormatting>
  <conditionalFormatting sqref="BG30">
    <cfRule type="expression" dxfId="19" priority="20">
      <formula>OR(BG30&lt;BG24,BG30&lt;BG26)</formula>
    </cfRule>
  </conditionalFormatting>
  <conditionalFormatting sqref="BG31">
    <cfRule type="expression" dxfId="18" priority="19">
      <formula>OR(BG31&lt;BG24,BG31&lt;BG26,BG31&lt;BG30)</formula>
    </cfRule>
  </conditionalFormatting>
  <conditionalFormatting sqref="BG32">
    <cfRule type="expression" dxfId="17" priority="18">
      <formula>OR(BG32&lt;BG24,BG32&lt;BG26,BG32&lt;BG30,BG32&lt;BG31)</formula>
    </cfRule>
  </conditionalFormatting>
  <conditionalFormatting sqref="BH18:BI32">
    <cfRule type="expression" dxfId="16" priority="16">
      <formula>AND( OR(     (COLUMN()-3)/4=ROUNDDOWN((COLUMN()-3)/4,0), (COLUMN()-2)/4=ROUNDDOWN( (COLUMN()-2)/4,0 )   ), ROW()/2=ROUNDDOWN(ROW()/2,0) )</formula>
    </cfRule>
    <cfRule type="expression" dxfId="15" priority="17" stopIfTrue="1">
      <formula>AND( OR(     (COLUMN()-1)/4=ROUNDDOWN((COLUMN()-1)/4,0), (COLUMN()+0)/4=ROUNDDOWN( (COLUMN()+0)/4,0 )   ), ROW()/2=ROUNDDOWN(ROW()/2,0) )</formula>
    </cfRule>
  </conditionalFormatting>
  <conditionalFormatting sqref="BI25">
    <cfRule type="expression" dxfId="14" priority="15">
      <formula>BI25&lt;BI24</formula>
    </cfRule>
  </conditionalFormatting>
  <conditionalFormatting sqref="BI26">
    <cfRule type="expression" dxfId="13" priority="14">
      <formula>BI26&lt;BI24</formula>
    </cfRule>
  </conditionalFormatting>
  <conditionalFormatting sqref="BI27">
    <cfRule type="expression" dxfId="12" priority="13">
      <formula>OR(BI27&lt;BI24,BI27&lt;BI26)</formula>
    </cfRule>
  </conditionalFormatting>
  <conditionalFormatting sqref="BI25">
    <cfRule type="expression" dxfId="11" priority="12">
      <formula>BI25&lt;BI24</formula>
    </cfRule>
  </conditionalFormatting>
  <conditionalFormatting sqref="BI26">
    <cfRule type="expression" dxfId="10" priority="11">
      <formula>BI26&lt;BI24</formula>
    </cfRule>
  </conditionalFormatting>
  <conditionalFormatting sqref="BI27">
    <cfRule type="expression" dxfId="9" priority="10">
      <formula>OR(BI27&lt;BI24,BI27&lt;BI26)</formula>
    </cfRule>
  </conditionalFormatting>
  <conditionalFormatting sqref="BI30">
    <cfRule type="expression" dxfId="8" priority="9">
      <formula>OR(BI30&lt;BI24,BI30&lt;BI26)</formula>
    </cfRule>
  </conditionalFormatting>
  <conditionalFormatting sqref="BI31">
    <cfRule type="expression" dxfId="7" priority="8">
      <formula>OR(BI31&lt;BI24,BI31&lt;BI26,BI31&lt;BI30)</formula>
    </cfRule>
  </conditionalFormatting>
  <conditionalFormatting sqref="BI32">
    <cfRule type="expression" dxfId="6" priority="7">
      <formula>OR(BI32&lt;BI24,BI32&lt;BI26,BI32&lt;BI30,BI32&lt;BI31)</formula>
    </cfRule>
  </conditionalFormatting>
  <conditionalFormatting sqref="BI25">
    <cfRule type="expression" dxfId="5" priority="6">
      <formula>BI25&lt;BI24</formula>
    </cfRule>
  </conditionalFormatting>
  <conditionalFormatting sqref="BI26">
    <cfRule type="expression" dxfId="4" priority="5">
      <formula>BI26&lt;BI24</formula>
    </cfRule>
  </conditionalFormatting>
  <conditionalFormatting sqref="BI27">
    <cfRule type="expression" dxfId="3" priority="4">
      <formula>OR(BI27&lt;BI24,BI27&lt;BI26)</formula>
    </cfRule>
  </conditionalFormatting>
  <conditionalFormatting sqref="BI30">
    <cfRule type="expression" dxfId="2" priority="3">
      <formula>OR(BI30&lt;BI24,BI30&lt;BI26)</formula>
    </cfRule>
  </conditionalFormatting>
  <conditionalFormatting sqref="BI31">
    <cfRule type="expression" dxfId="1" priority="2">
      <formula>OR(BI31&lt;BI24,BI31&lt;BI26,BI31&lt;BI30)</formula>
    </cfRule>
  </conditionalFormatting>
  <conditionalFormatting sqref="BI32">
    <cfRule type="expression" dxfId="0" priority="1">
      <formula>OR(BI32&lt;BI24,BI32&lt;BI26,BI32&lt;BI30,BI32&lt;BI31)</formula>
    </cfRule>
  </conditionalFormatting>
  <dataValidations count="1">
    <dataValidation type="list" allowBlank="1" showInputMessage="1" showErrorMessage="1" sqref="G3:J3" xr:uid="{00000000-0002-0000-0000-000000000000}">
      <formula1>"H:\RELAP5\bin\relap5\relap5mod3.3patch03\relap5.exe,C:\RELAP5\bin\relap5mod3.3patch03\relap5.exe"</formula1>
    </dataValidation>
  </dataValidations>
  <hyperlinks>
    <hyperlink ref="B12" location="Blad1!$D$7" display="Blad1!$D$7" xr:uid="{00000000-0004-0000-0000-000000000000}"/>
    <hyperlink ref="B16" location="Blad1!$D$8" display="Blad1!$D$8" xr:uid="{00000000-0004-0000-0000-000001000000}"/>
    <hyperlink ref="B17" location="Blad1!$D$9" display="Blad1!$D$9" xr:uid="{00000000-0004-0000-0000-000002000000}"/>
    <hyperlink ref="B13" location="Blad1!$D$8" display="Blad1!$D$8" xr:uid="{193B0EA5-C5ED-47E8-9938-B0F50F08A343}"/>
    <hyperlink ref="B14" location="Blad1!$D$8" display="Blad1!$D$8" xr:uid="{844F5EE3-6F6F-4B54-A238-83FBA72811C8}"/>
    <hyperlink ref="B15" location="Blad1!$D$8" display="Blad1!$D$8" xr:uid="{4293DC0A-DA98-47DD-AAE6-B4F75B78C82E}"/>
    <hyperlink ref="B12:C12" location="'R5Post main'!B12" display="'R5Post main'!B12" xr:uid="{954A8610-0E7C-4821-8D7B-77D5624283D1}"/>
    <hyperlink ref="B17:C17" location="'R5Post main'!B17" display="'R5Post main'!B17" xr:uid="{710A1D0A-EB51-4DBF-AA1E-32B4CC4AFF22}"/>
    <hyperlink ref="B16:C16" location="'R5Post main'!B16" display="'R5Post main'!B16" xr:uid="{46E0B6D0-912B-403E-AEF5-31D3BA4ED5E5}"/>
    <hyperlink ref="B15:C15" location="'R5Post main'!B15" display="'R5Post main'!B15" xr:uid="{5BD2A861-6A85-42E9-B5E7-F9A0FBDF062C}"/>
    <hyperlink ref="B14:C14" location="'R5Post main'!B14" display="'R5Post main'!B14" xr:uid="{80F00118-35C4-4C8A-B5F5-44589BEC976D}"/>
    <hyperlink ref="B13:C13" location="'R5Post main'!B13" display="'R5Post main'!B13" xr:uid="{DC5C318A-3045-4893-A593-486C5D886293}"/>
    <hyperlink ref="D12" location="Blad1!$D$7" display="Blad1!$D$7" xr:uid="{37574EF6-4D3F-428B-8D9B-83FC29946EDE}"/>
    <hyperlink ref="D16" location="Blad1!$D$8" display="Blad1!$D$8" xr:uid="{40C85197-37D4-4ABF-9F8A-BDE7E6F68F09}"/>
    <hyperlink ref="D17" location="Blad1!$D$9" display="Blad1!$D$9" xr:uid="{5CC9F010-305C-49E5-88C2-65576321E7C9}"/>
    <hyperlink ref="D13" location="Blad1!$D$8" display="Blad1!$D$8" xr:uid="{78B9494E-E2F8-4501-814C-28343A9DD2CD}"/>
    <hyperlink ref="D14" location="Blad1!$D$8" display="Blad1!$D$8" xr:uid="{CE73CA72-F658-4DCA-8785-A87105B56F92}"/>
    <hyperlink ref="D15" location="Blad1!$D$8" display="Blad1!$D$8" xr:uid="{2FA29011-F97F-4195-BD07-ED5BDC7B4740}"/>
    <hyperlink ref="D12:E12" location="'R5Post main'!B12" display="'R5Post main'!B12" xr:uid="{60217000-975E-4E02-8EA5-C243366781A2}"/>
    <hyperlink ref="D17:E17" location="'R5Post main'!B17" display="'R5Post main'!B17" xr:uid="{38DD3A8D-F8B4-4F58-9E1C-36196E1EE8A2}"/>
    <hyperlink ref="D16:E16" location="'R5Post main'!B16" display="'R5Post main'!B16" xr:uid="{F0EA0A9E-3425-4F3E-A422-11DDB33B9F80}"/>
    <hyperlink ref="D15:E15" location="'R5Post main'!B15" display="'R5Post main'!B15" xr:uid="{007EE939-4EAC-4B72-9668-0E8420C79818}"/>
    <hyperlink ref="D14:E14" location="'R5Post main'!B14" display="'R5Post main'!B14" xr:uid="{B9924410-E2C3-45D3-8A97-B9CA39CE87CE}"/>
    <hyperlink ref="D13:E13" location="'R5Post main'!B13" display="'R5Post main'!B13" xr:uid="{9943C788-C51A-4492-A495-CA874D4C7F08}"/>
    <hyperlink ref="F12" location="Blad1!$D$7" display="Blad1!$D$7" xr:uid="{D188233F-42D9-404F-A821-063AAE3743D7}"/>
    <hyperlink ref="F16" location="Blad1!$D$8" display="Blad1!$D$8" xr:uid="{A86D27F9-ED57-4779-9899-56301D698265}"/>
    <hyperlink ref="F17" location="Blad1!$D$9" display="Blad1!$D$9" xr:uid="{BDCA270A-079F-4846-8CED-34B0DBFDE26E}"/>
    <hyperlink ref="F13" location="Blad1!$D$8" display="Blad1!$D$8" xr:uid="{EB9D14E3-41FA-4D35-AC27-8D453AC48A17}"/>
    <hyperlink ref="F14" location="Blad1!$D$8" display="Blad1!$D$8" xr:uid="{28515D13-0D6B-4F26-9B98-4A8B3BB2CD97}"/>
    <hyperlink ref="F15" location="Blad1!$D$8" display="Blad1!$D$8" xr:uid="{4AFBD61D-02F5-4575-8590-A75398251F95}"/>
    <hyperlink ref="F12:G12" location="'R5Post main'!B12" display="'R5Post main'!B12" xr:uid="{CD5207EE-8188-4D49-ACE2-656027578411}"/>
    <hyperlink ref="F17:G17" location="'R5Post main'!B17" display="'R5Post main'!B17" xr:uid="{EFA98170-EF4A-455D-85D6-271F0BD85C3B}"/>
    <hyperlink ref="F16:G16" location="'R5Post main'!B16" display="'R5Post main'!B16" xr:uid="{21312A9C-1B1E-4C8B-B02F-3C83E6B7E7A3}"/>
    <hyperlink ref="F15:G15" location="'R5Post main'!B15" display="'R5Post main'!B15" xr:uid="{390C7A1A-0077-4776-86E7-954FC0D34017}"/>
    <hyperlink ref="F14:G14" location="'R5Post main'!B14" display="'R5Post main'!B14" xr:uid="{28385DE9-32CC-4AD8-8416-90FA09D7A9B1}"/>
    <hyperlink ref="F13:G13" location="'R5Post main'!B13" display="'R5Post main'!B13" xr:uid="{4C8BD60C-A864-4DDB-92EC-15A269171FBE}"/>
    <hyperlink ref="H12" location="Blad1!$D$7" display="Blad1!$D$7" xr:uid="{63A4B5BF-897A-49B8-9A63-5B70013A16EB}"/>
    <hyperlink ref="H16" location="Blad1!$D$8" display="Blad1!$D$8" xr:uid="{0B259E63-25E4-43BD-BE8A-8466F4752AB5}"/>
    <hyperlink ref="H17" location="Blad1!$D$9" display="Blad1!$D$9" xr:uid="{311A8D4B-2E7F-4051-85BE-20127A141EA8}"/>
    <hyperlink ref="H13" location="Blad1!$D$8" display="Blad1!$D$8" xr:uid="{C140B4CF-7C70-4AD1-A613-8F3B04291345}"/>
    <hyperlink ref="H14" location="Blad1!$D$8" display="Blad1!$D$8" xr:uid="{E1EFB210-208A-400A-BB9C-50D9C6C35AB1}"/>
    <hyperlink ref="H15" location="Blad1!$D$8" display="Blad1!$D$8" xr:uid="{EC29C5AC-A95F-4C4F-9D24-F556E52BC6DD}"/>
    <hyperlink ref="H12:I12" location="'R5Post main'!B12" display="'R5Post main'!B12" xr:uid="{00200EDF-AB48-4CB6-80F2-D1DB4A9A0A5C}"/>
    <hyperlink ref="H17:I17" location="'R5Post main'!B17" display="'R5Post main'!B17" xr:uid="{96AD71E4-BD09-4529-AA28-93D219A5412F}"/>
    <hyperlink ref="H16:I16" location="'R5Post main'!B16" display="'R5Post main'!B16" xr:uid="{9A22097A-61D7-44B1-96C3-3D3996D39A5D}"/>
    <hyperlink ref="H15:I15" location="'R5Post main'!B15" display="'R5Post main'!B15" xr:uid="{2BA041EA-0243-4C6C-A342-5573FF0B8BFB}"/>
    <hyperlink ref="H14:I14" location="'R5Post main'!B14" display="'R5Post main'!B14" xr:uid="{34248E37-FA07-4B52-B0AE-B754AB5C764A}"/>
    <hyperlink ref="H13:I13" location="'R5Post main'!B13" display="'R5Post main'!B13" xr:uid="{AC1BF894-370A-46DB-ABE4-C04FCEE27044}"/>
    <hyperlink ref="J12" location="Blad1!$D$7" display="Blad1!$D$7" xr:uid="{C05C52CB-0A6F-413D-A16A-3D4EFD3C0BD2}"/>
    <hyperlink ref="J16" location="Blad1!$D$8" display="Blad1!$D$8" xr:uid="{B47EBB69-8445-427D-B5FB-41416150F153}"/>
    <hyperlink ref="J17" location="Blad1!$D$9" display="Blad1!$D$9" xr:uid="{6A5A8480-C3FF-406D-8D79-CE941B4F22D7}"/>
    <hyperlink ref="J13" location="Blad1!$D$8" display="Blad1!$D$8" xr:uid="{36BF6F32-83CA-466A-B151-36D9ACC41C63}"/>
    <hyperlink ref="J14" location="Blad1!$D$8" display="Blad1!$D$8" xr:uid="{E2F41521-4184-429D-8797-251FF7ABD36E}"/>
    <hyperlink ref="J15" location="Blad1!$D$8" display="Blad1!$D$8" xr:uid="{6F58E202-0C20-49D5-BDC7-F2EF89FDD335}"/>
    <hyperlink ref="J12:K12" location="'R5Post main'!B12" display="'R5Post main'!B12" xr:uid="{E9C65CC5-4E8C-466E-A671-E00F6FA1DD72}"/>
    <hyperlink ref="J17:K17" location="'R5Post main'!B17" display="'R5Post main'!B17" xr:uid="{DAB0D10C-9390-488A-B2B2-33CE18F2A9B6}"/>
    <hyperlink ref="J16:K16" location="'R5Post main'!B16" display="'R5Post main'!B16" xr:uid="{837A5848-7E8D-4A36-8F31-14D39EE41727}"/>
    <hyperlink ref="J15:K15" location="'R5Post main'!B15" display="'R5Post main'!B15" xr:uid="{00893D44-864E-4973-904D-6425059FD0A3}"/>
    <hyperlink ref="J14:K14" location="'R5Post main'!B14" display="'R5Post main'!B14" xr:uid="{1C43C9FF-B954-4E58-A605-21D178CB010B}"/>
    <hyperlink ref="J13:K13" location="'R5Post main'!B13" display="'R5Post main'!B13" xr:uid="{7C789E0D-58DC-4B87-83A7-0D11D73E4452}"/>
    <hyperlink ref="L12" location="Blad1!$D$7" display="Blad1!$D$7" xr:uid="{E970ED17-151B-41C7-9BEF-BC67214237A6}"/>
    <hyperlink ref="L16" location="Blad1!$D$8" display="Blad1!$D$8" xr:uid="{7CBC478C-1B3F-4CF1-9FBD-5678FCBAD49C}"/>
    <hyperlink ref="L17" location="Blad1!$D$9" display="Blad1!$D$9" xr:uid="{28ED1835-49A3-4A88-84AF-1664DD456F9E}"/>
    <hyperlink ref="L13" location="Blad1!$D$8" display="Blad1!$D$8" xr:uid="{82BB1C14-4FF1-4639-9D4C-4015CF9ACB2E}"/>
    <hyperlink ref="L14" location="Blad1!$D$8" display="Blad1!$D$8" xr:uid="{368B8F87-BA66-4C8E-8DBB-B4CBBE9EA8FD}"/>
    <hyperlink ref="L15" location="Blad1!$D$8" display="Blad1!$D$8" xr:uid="{FC072B47-2BB0-4D51-B2EB-07BD4D03D09C}"/>
    <hyperlink ref="L12:M12" location="'R5Post main'!B12" display="'R5Post main'!B12" xr:uid="{C448ED58-99F9-47DA-BDC3-EB288074B9CF}"/>
    <hyperlink ref="L17:M17" location="'R5Post main'!B17" display="'R5Post main'!B17" xr:uid="{E7CE8BAF-1ADD-47CB-9166-1FE45D11252B}"/>
    <hyperlink ref="L16:M16" location="'R5Post main'!B16" display="'R5Post main'!B16" xr:uid="{C64E2208-8DE4-4FC4-BBE0-771272B9B37C}"/>
    <hyperlink ref="L15:M15" location="'R5Post main'!B15" display="'R5Post main'!B15" xr:uid="{AE46CA83-4D60-47F7-BE19-F31DE0A4248A}"/>
    <hyperlink ref="L14:M14" location="'R5Post main'!B14" display="'R5Post main'!B14" xr:uid="{B7EA7808-450A-42A9-A9E8-CB3988487FEE}"/>
    <hyperlink ref="L13:M13" location="'R5Post main'!B13" display="'R5Post main'!B13" xr:uid="{52E549EA-15C6-4414-B65F-7F5F4593EC5A}"/>
    <hyperlink ref="N12" location="Blad1!$D$7" display="Blad1!$D$7" xr:uid="{420CA0E0-8864-4732-8592-0D49DBE3C720}"/>
    <hyperlink ref="N16" location="Blad1!$D$8" display="Blad1!$D$8" xr:uid="{3F897CFC-5522-4FA0-BB8C-B81A70887551}"/>
    <hyperlink ref="N17" location="Blad1!$D$9" display="Blad1!$D$9" xr:uid="{1430C1C8-8ABE-4571-BE5D-B3D70CD84DC3}"/>
    <hyperlink ref="N13" location="Blad1!$D$8" display="Blad1!$D$8" xr:uid="{D56DB32D-8376-4907-A597-220A0C1E38E7}"/>
    <hyperlink ref="N14" location="Blad1!$D$8" display="Blad1!$D$8" xr:uid="{91812829-2A48-46EE-B3A8-98EA47340494}"/>
    <hyperlink ref="N15" location="Blad1!$D$8" display="Blad1!$D$8" xr:uid="{E25DE20B-274A-40D6-8FCC-019BD0239579}"/>
    <hyperlink ref="N12:O12" location="'R5Post main'!B12" display="'R5Post main'!B12" xr:uid="{9ED223D8-3CC5-46EE-B0C1-A2120D0BA463}"/>
    <hyperlink ref="N17:O17" location="'R5Post main'!B17" display="'R5Post main'!B17" xr:uid="{BCAE1429-C377-4618-AD82-9DCD86D33829}"/>
    <hyperlink ref="N16:O16" location="'R5Post main'!B16" display="'R5Post main'!B16" xr:uid="{4B2120FF-816D-4B81-AA67-B1993927F2AD}"/>
    <hyperlink ref="N15:O15" location="'R5Post main'!B15" display="'R5Post main'!B15" xr:uid="{C241A0EA-F774-482D-B651-D29F70A05BCA}"/>
    <hyperlink ref="N14:O14" location="'R5Post main'!B14" display="'R5Post main'!B14" xr:uid="{07730D33-7534-4FDC-B953-79FB7440EC8A}"/>
    <hyperlink ref="N13:O13" location="'R5Post main'!B13" display="'R5Post main'!B13" xr:uid="{3B81B1B8-6EE8-4BA7-8045-A3F167D7190C}"/>
    <hyperlink ref="P12" location="Blad1!$D$7" display="Blad1!$D$7" xr:uid="{113FED07-5EE6-4E39-80D1-850950A1A695}"/>
    <hyperlink ref="P16" location="Blad1!$D$8" display="Blad1!$D$8" xr:uid="{2BDECDEC-C14B-4137-AA6D-CBB00F3ED19A}"/>
    <hyperlink ref="P17" location="Blad1!$D$9" display="Blad1!$D$9" xr:uid="{36A616EF-3DCB-4DE2-81A5-2053B53577E1}"/>
    <hyperlink ref="P13" location="Blad1!$D$8" display="Blad1!$D$8" xr:uid="{CF0B0377-D659-413B-9322-EF84F02ADBEC}"/>
    <hyperlink ref="P14" location="Blad1!$D$8" display="Blad1!$D$8" xr:uid="{CD5A100B-8326-4DC5-823B-9EDFADFDFB58}"/>
    <hyperlink ref="P15" location="Blad1!$D$8" display="Blad1!$D$8" xr:uid="{5C322584-CDB6-4620-A514-A63D53AE2BF6}"/>
    <hyperlink ref="P12:Q12" location="'R5Post main'!B12" display="'R5Post main'!B12" xr:uid="{BB4DADA8-22F6-4935-B633-F8D744A9F5B7}"/>
    <hyperlink ref="P17:Q17" location="'R5Post main'!B17" display="'R5Post main'!B17" xr:uid="{D69FAFFE-1BD9-42BD-837F-42B2C0F512E4}"/>
    <hyperlink ref="P16:Q16" location="'R5Post main'!B16" display="'R5Post main'!B16" xr:uid="{3A825840-200E-4D61-B17F-F3207B89B5A0}"/>
    <hyperlink ref="P15:Q15" location="'R5Post main'!B15" display="'R5Post main'!B15" xr:uid="{F28430BB-A9D1-489D-B400-316A9C5EA7B9}"/>
    <hyperlink ref="P14:Q14" location="'R5Post main'!B14" display="'R5Post main'!B14" xr:uid="{D2EFB249-F927-4A79-A87D-879C01539D13}"/>
    <hyperlink ref="P13:Q13" location="'R5Post main'!B13" display="'R5Post main'!B13" xr:uid="{6AD9FEAB-E248-4E77-96C1-EBE2DC223E60}"/>
    <hyperlink ref="R12" location="Blad1!$D$7" display="Blad1!$D$7" xr:uid="{6DF1E603-F58A-41DC-BEBF-10A405D13BD6}"/>
    <hyperlink ref="R16" location="Blad1!$D$8" display="Blad1!$D$8" xr:uid="{DE956377-B342-4B32-9E39-E8486C47F83A}"/>
    <hyperlink ref="R17" location="Blad1!$D$9" display="Blad1!$D$9" xr:uid="{BE7335C1-67D6-4C4C-B79E-5401EC1510D9}"/>
    <hyperlink ref="R13" location="Blad1!$D$8" display="Blad1!$D$8" xr:uid="{875011EC-5199-4BD0-B94E-36478AA1A928}"/>
    <hyperlink ref="R14" location="Blad1!$D$8" display="Blad1!$D$8" xr:uid="{5FAD4837-C91A-447B-8DA3-814D618F82A6}"/>
    <hyperlink ref="R15" location="Blad1!$D$8" display="Blad1!$D$8" xr:uid="{52BB8F8F-80BB-40A4-A4D7-576653BB8B4F}"/>
    <hyperlink ref="R12:S12" location="'R5Post main'!B12" display="'R5Post main'!B12" xr:uid="{9A33A732-998E-4564-B554-17F82AD4540F}"/>
    <hyperlink ref="R17:S17" location="'R5Post main'!B17" display="'R5Post main'!B17" xr:uid="{87D43DBC-6EEB-44B6-ABC8-CE4FB63E085A}"/>
    <hyperlink ref="R16:S16" location="'R5Post main'!B16" display="'R5Post main'!B16" xr:uid="{C03999C1-C707-4AC9-B59B-187F2397EBF0}"/>
    <hyperlink ref="R15:S15" location="'R5Post main'!B15" display="'R5Post main'!B15" xr:uid="{1967C4C5-8FE7-4A27-B4D6-DE063B06E176}"/>
    <hyperlink ref="R14:S14" location="'R5Post main'!B14" display="'R5Post main'!B14" xr:uid="{5BD398E7-A12D-4C4D-8535-CACB07F28C13}"/>
    <hyperlink ref="R13:S13" location="'R5Post main'!B13" display="'R5Post main'!B13" xr:uid="{988FE835-AAA8-4BE4-9B77-5AD50E077754}"/>
    <hyperlink ref="T12" location="Blad1!$D$7" display="Blad1!$D$7" xr:uid="{904942BA-F4D3-41C6-A019-C833E2C26562}"/>
    <hyperlink ref="T16" location="Blad1!$D$8" display="Blad1!$D$8" xr:uid="{F4F24CF8-C873-42FA-9F59-3B139B9F41FE}"/>
    <hyperlink ref="T17" location="Blad1!$D$9" display="Blad1!$D$9" xr:uid="{A2BC4B46-F493-4D6A-8AD3-64CC6D1D556F}"/>
    <hyperlink ref="T13" location="Blad1!$D$8" display="Blad1!$D$8" xr:uid="{724D02C6-4454-4108-B850-B6A1A04C1330}"/>
    <hyperlink ref="T14" location="Blad1!$D$8" display="Blad1!$D$8" xr:uid="{0BC92A5A-5C76-4B49-AF9C-B1E1CD94133E}"/>
    <hyperlink ref="T15" location="Blad1!$D$8" display="Blad1!$D$8" xr:uid="{BA5B2FF1-ACF0-4655-B31D-3A24088D45F7}"/>
    <hyperlink ref="T12:U12" location="'R5Post main'!B12" display="'R5Post main'!B12" xr:uid="{30710E04-CEAA-4670-8450-819916CEB2F6}"/>
    <hyperlink ref="T17:U17" location="'R5Post main'!B17" display="'R5Post main'!B17" xr:uid="{E82BFCA8-C3C8-422B-986C-74C7410A6967}"/>
    <hyperlink ref="T16:U16" location="'R5Post main'!B16" display="'R5Post main'!B16" xr:uid="{36C4D637-5C8D-48FC-8A42-9D1128E464CA}"/>
    <hyperlink ref="T15:U15" location="'R5Post main'!B15" display="'R5Post main'!B15" xr:uid="{856B5AE4-81FA-4FB9-93A3-6DBF6902C840}"/>
    <hyperlink ref="T14:U14" location="'R5Post main'!B14" display="'R5Post main'!B14" xr:uid="{0FBA7D10-2F23-4438-B658-238AF2B3CD20}"/>
    <hyperlink ref="T13:U13" location="'R5Post main'!B13" display="'R5Post main'!B13" xr:uid="{F7A21B3E-99DE-42FE-8A24-3B7F610A6D1B}"/>
    <hyperlink ref="V12" location="Blad1!$D$7" display="Blad1!$D$7" xr:uid="{528D17C0-26BA-44E7-9C6C-64978417D477}"/>
    <hyperlink ref="V16" location="Blad1!$D$8" display="Blad1!$D$8" xr:uid="{C478E06B-D52C-46FC-84CB-FF6B951B9E38}"/>
    <hyperlink ref="V17" location="Blad1!$D$9" display="Blad1!$D$9" xr:uid="{447B1E15-B19D-4194-8F44-5841675AB8F9}"/>
    <hyperlink ref="V13" location="Blad1!$D$8" display="Blad1!$D$8" xr:uid="{A7313508-C368-4CF3-BF4B-5A8576BA818B}"/>
    <hyperlink ref="V14" location="Blad1!$D$8" display="Blad1!$D$8" xr:uid="{C2D01048-A5F9-4FD6-BAD6-88B22DEE1536}"/>
    <hyperlink ref="V15" location="Blad1!$D$8" display="Blad1!$D$8" xr:uid="{964DB493-6072-4DFC-803A-FFF11BC83004}"/>
    <hyperlink ref="V12:W12" location="'R5Post main'!B12" display="'R5Post main'!B12" xr:uid="{F2A4E220-A521-4372-BEAA-B4BCCB92F45E}"/>
    <hyperlink ref="V17:W17" location="'R5Post main'!B17" display="'R5Post main'!B17" xr:uid="{6AAD59AD-C4BA-4CB2-873D-321EC4C63AF8}"/>
    <hyperlink ref="V16:W16" location="'R5Post main'!B16" display="'R5Post main'!B16" xr:uid="{48E10489-2642-4769-88D1-83BDE0C05D6A}"/>
    <hyperlink ref="V15:W15" location="'R5Post main'!B15" display="'R5Post main'!B15" xr:uid="{5E7540CC-89B4-4BC8-85C1-ABFA825C3881}"/>
    <hyperlink ref="V14:W14" location="'R5Post main'!B14" display="'R5Post main'!B14" xr:uid="{0C6DC048-2891-4CE8-A893-85109444708B}"/>
    <hyperlink ref="V13:W13" location="'R5Post main'!B13" display="'R5Post main'!B13" xr:uid="{BE76F743-F2A3-4BF5-B82F-72D45BA02D72}"/>
    <hyperlink ref="X12" location="Blad1!$D$7" display="Blad1!$D$7" xr:uid="{599C14E8-BC58-47D8-B18A-76808721DBE7}"/>
    <hyperlink ref="X16" location="Blad1!$D$8" display="Blad1!$D$8" xr:uid="{EFAB5FFC-AACE-4DBD-8184-0BD5E324BA85}"/>
    <hyperlink ref="X17" location="Blad1!$D$9" display="Blad1!$D$9" xr:uid="{AB9B7FA8-5BFF-4470-870D-B43097E0406E}"/>
    <hyperlink ref="X13" location="Blad1!$D$8" display="Blad1!$D$8" xr:uid="{779221BB-FB2A-4952-97CC-5113E3A5A016}"/>
    <hyperlink ref="X14" location="Blad1!$D$8" display="Blad1!$D$8" xr:uid="{CC6D913B-C174-4BF3-864D-B3BB7ED74ACE}"/>
    <hyperlink ref="X15" location="Blad1!$D$8" display="Blad1!$D$8" xr:uid="{823F905C-2EE4-438E-B135-B0E143EE9622}"/>
    <hyperlink ref="X12:Y12" location="'R5Post main'!B12" display="'R5Post main'!B12" xr:uid="{D357223E-BB03-496D-B2C1-AFD8DFCD239C}"/>
    <hyperlink ref="X17:Y17" location="'R5Post main'!B17" display="'R5Post main'!B17" xr:uid="{184CB70D-44E0-4B45-8FA3-3B980F5F347F}"/>
    <hyperlink ref="X16:Y16" location="'R5Post main'!B16" display="'R5Post main'!B16" xr:uid="{AE913060-EDF2-4945-B343-D086097EE043}"/>
    <hyperlink ref="X15:Y15" location="'R5Post main'!B15" display="'R5Post main'!B15" xr:uid="{F653CEC4-AE22-4AD0-BEC7-75A166D740E1}"/>
    <hyperlink ref="X14:Y14" location="'R5Post main'!B14" display="'R5Post main'!B14" xr:uid="{78534CC3-E737-4F48-9DBF-D452AAA482AB}"/>
    <hyperlink ref="X13:Y13" location="'R5Post main'!B13" display="'R5Post main'!B13" xr:uid="{C605DCD4-3519-44FA-B0A9-82820F82E97D}"/>
    <hyperlink ref="Z12" location="Blad1!$D$7" display="Blad1!$D$7" xr:uid="{3388D6E5-B04B-4436-8DE6-8B1FA672664C}"/>
    <hyperlink ref="Z16" location="Blad1!$D$8" display="Blad1!$D$8" xr:uid="{5D7989F5-C8E4-48FB-893D-A6277686C33D}"/>
    <hyperlink ref="Z17" location="Blad1!$D$9" display="Blad1!$D$9" xr:uid="{6BB39726-AEC6-48CC-B762-CF9F2B9FFBD4}"/>
    <hyperlink ref="Z13" location="Blad1!$D$8" display="Blad1!$D$8" xr:uid="{BE4378C4-35FC-4156-A475-C935EA05042E}"/>
    <hyperlink ref="Z14" location="Blad1!$D$8" display="Blad1!$D$8" xr:uid="{608A1B8D-82E8-4871-AFE4-39F6E24592EB}"/>
    <hyperlink ref="Z15" location="Blad1!$D$8" display="Blad1!$D$8" xr:uid="{D79BCF19-9067-41C8-A386-FD7FF2B82487}"/>
    <hyperlink ref="Z12:AA12" location="'R5Post main'!B12" display="'R5Post main'!B12" xr:uid="{B9CAE0A1-E7F9-477D-B326-B8A0658389D4}"/>
    <hyperlink ref="Z17:AA17" location="'R5Post main'!B17" display="'R5Post main'!B17" xr:uid="{EE6B42EF-5093-4080-909D-90CF3A15E283}"/>
    <hyperlink ref="Z16:AA16" location="'R5Post main'!B16" display="'R5Post main'!B16" xr:uid="{43AC5673-1855-4414-96B8-1DDCAE8DB704}"/>
    <hyperlink ref="Z15:AA15" location="'R5Post main'!B15" display="'R5Post main'!B15" xr:uid="{66D925B3-4D6C-4FC1-AC08-CA163C2C7473}"/>
    <hyperlink ref="Z14:AA14" location="'R5Post main'!B14" display="'R5Post main'!B14" xr:uid="{5CEF9E90-490F-49C3-9A6A-8632CFFB703F}"/>
    <hyperlink ref="Z13:AA13" location="'R5Post main'!B13" display="'R5Post main'!B13" xr:uid="{69E4E0BB-A10D-4D13-A63F-0881CAECEAAC}"/>
    <hyperlink ref="AB12" location="Blad1!$D$7" display="Blad1!$D$7" xr:uid="{5133DD05-82B0-4209-A070-57C190AE0860}"/>
    <hyperlink ref="AB16" location="Blad1!$D$8" display="Blad1!$D$8" xr:uid="{E3A208FF-D091-4ECC-A0A0-0E6EBC83B36C}"/>
    <hyperlink ref="AB17" location="Blad1!$D$9" display="Blad1!$D$9" xr:uid="{D8C4BA0E-E7CB-4839-9B9B-32551A9A854E}"/>
    <hyperlink ref="AB13" location="Blad1!$D$8" display="Blad1!$D$8" xr:uid="{B8A23D14-8964-4593-A8CE-F6CDC20F8527}"/>
    <hyperlink ref="AB14" location="Blad1!$D$8" display="Blad1!$D$8" xr:uid="{961AD949-37FD-494F-9839-C8E142541C42}"/>
    <hyperlink ref="AB15" location="Blad1!$D$8" display="Blad1!$D$8" xr:uid="{E41C44BA-A3A8-4DD6-99DF-0F7C6199995A}"/>
    <hyperlink ref="AB12:AC12" location="'R5Post main'!B12" display="'R5Post main'!B12" xr:uid="{E5C8D837-F70A-492E-9943-0D20C0D6FC17}"/>
    <hyperlink ref="AB17:AC17" location="'R5Post main'!B17" display="'R5Post main'!B17" xr:uid="{C59C1045-7229-45FC-8B5B-73323247CC82}"/>
    <hyperlink ref="AB16:AC16" location="'R5Post main'!B16" display="'R5Post main'!B16" xr:uid="{E3941451-C75B-4480-B730-019CE47409F5}"/>
    <hyperlink ref="AB15:AC15" location="'R5Post main'!B15" display="'R5Post main'!B15" xr:uid="{926364D8-C9F1-4EEE-9A7E-F6DD6C7E376D}"/>
    <hyperlink ref="AB14:AC14" location="'R5Post main'!B14" display="'R5Post main'!B14" xr:uid="{AA9B81E4-F04C-49F4-9C64-9A94140F4BF9}"/>
    <hyperlink ref="AB13:AC13" location="'R5Post main'!B13" display="'R5Post main'!B13" xr:uid="{0D1FC3B4-570C-4B42-93F6-DAD627C2BF2D}"/>
    <hyperlink ref="AD12" location="Blad1!$D$7" display="Blad1!$D$7" xr:uid="{2135DE7D-8C8B-44CF-9A55-0802F5C09E60}"/>
    <hyperlink ref="AD16" location="Blad1!$D$8" display="Blad1!$D$8" xr:uid="{66B5F66D-AA0E-44F0-B0FA-F9DEEBBFA80A}"/>
    <hyperlink ref="AD17" location="Blad1!$D$9" display="Blad1!$D$9" xr:uid="{C2B59ED1-463F-4E03-A9FA-B1B3A25CB827}"/>
    <hyperlink ref="AD13" location="Blad1!$D$8" display="Blad1!$D$8" xr:uid="{30F2C9C5-0490-4F4D-B33C-6C1DCDCC80E3}"/>
    <hyperlink ref="AD14" location="Blad1!$D$8" display="Blad1!$D$8" xr:uid="{63F0C72F-E7D2-45CF-A5A1-91A2323D47CE}"/>
    <hyperlink ref="AD15" location="Blad1!$D$8" display="Blad1!$D$8" xr:uid="{8890E16E-0488-4F04-A21E-F9F7945EB452}"/>
    <hyperlink ref="AD12:AE12" location="'R5Post main'!B12" display="'R5Post main'!B12" xr:uid="{8C0C14F7-47F2-4B32-ACD4-2AB14A8FE09A}"/>
    <hyperlink ref="AD17:AE17" location="'R5Post main'!B17" display="'R5Post main'!B17" xr:uid="{3AEC1629-D37E-4206-B0F6-C2FF1B44FAC5}"/>
    <hyperlink ref="AD16:AE16" location="'R5Post main'!B16" display="'R5Post main'!B16" xr:uid="{905917C4-872E-47F7-8051-62272BCC3FAC}"/>
    <hyperlink ref="AD15:AE15" location="'R5Post main'!B15" display="'R5Post main'!B15" xr:uid="{E6E0366A-9419-4268-A741-094A8F66EC0B}"/>
    <hyperlink ref="AD14:AE14" location="'R5Post main'!B14" display="'R5Post main'!B14" xr:uid="{95F0C289-1C1D-4649-B823-13DF353FED5A}"/>
    <hyperlink ref="AD13:AE13" location="'R5Post main'!B13" display="'R5Post main'!B13" xr:uid="{5314AB9B-1F8C-4E2E-A93F-25B23429FBD7}"/>
    <hyperlink ref="AF12" location="Blad1!$D$7" display="Blad1!$D$7" xr:uid="{87B0A529-F05A-4CE3-8F20-A47D71B2ACF2}"/>
    <hyperlink ref="AF16" location="Blad1!$D$8" display="Blad1!$D$8" xr:uid="{F7833498-8265-4C1F-8837-21FFB0EF392A}"/>
    <hyperlink ref="AF17" location="Blad1!$D$9" display="Blad1!$D$9" xr:uid="{A60391ED-6E25-48AB-9492-526CC68E7706}"/>
    <hyperlink ref="AF13" location="Blad1!$D$8" display="Blad1!$D$8" xr:uid="{A3D8250C-1479-4D64-903F-78713B8BBDC4}"/>
    <hyperlink ref="AF14" location="Blad1!$D$8" display="Blad1!$D$8" xr:uid="{C703FCCE-34F6-4C66-80EB-924FB4D0A47F}"/>
    <hyperlink ref="AF15" location="Blad1!$D$8" display="Blad1!$D$8" xr:uid="{813BBDC8-6E3E-4A0C-A74F-0181147D7AF5}"/>
    <hyperlink ref="AF12:AG12" location="'R5Post main'!B12" display="'R5Post main'!B12" xr:uid="{3A46E75E-9AD9-492D-82D3-0AD057E79C9B}"/>
    <hyperlink ref="AF17:AG17" location="'R5Post main'!B17" display="'R5Post main'!B17" xr:uid="{BA85B388-D3D3-44C9-B277-0460F3681600}"/>
    <hyperlink ref="AF16:AG16" location="'R5Post main'!B16" display="'R5Post main'!B16" xr:uid="{9EC76856-3246-44A6-AEA9-90BB812ED363}"/>
    <hyperlink ref="AF15:AG15" location="'R5Post main'!B15" display="'R5Post main'!B15" xr:uid="{1A717568-8271-4EA1-A929-B9E2D991933B}"/>
    <hyperlink ref="AF14:AG14" location="'R5Post main'!B14" display="'R5Post main'!B14" xr:uid="{C5BB3600-B59F-4C57-A171-6867F38C6D26}"/>
    <hyperlink ref="AF13:AG13" location="'R5Post main'!B13" display="'R5Post main'!B13" xr:uid="{41145A12-4512-41C5-A490-4E4B9D331BA1}"/>
    <hyperlink ref="AH12" location="Blad1!$D$7" display="Blad1!$D$7" xr:uid="{4B1DBDC1-DBD1-4EAA-B600-7F72FC406AAE}"/>
    <hyperlink ref="AH16" location="Blad1!$D$8" display="Blad1!$D$8" xr:uid="{08B00B84-D482-4072-B835-DED5BFE8F155}"/>
    <hyperlink ref="AH17" location="Blad1!$D$9" display="Blad1!$D$9" xr:uid="{D1BA5ED5-93C7-456A-8EC3-D80AA1F8695D}"/>
    <hyperlink ref="AH13" location="Blad1!$D$8" display="Blad1!$D$8" xr:uid="{399691FF-EF30-4E87-9F4C-E163B9428189}"/>
    <hyperlink ref="AH14" location="Blad1!$D$8" display="Blad1!$D$8" xr:uid="{03282F9E-4FBE-4C22-94DB-58538CBEF688}"/>
    <hyperlink ref="AH15" location="Blad1!$D$8" display="Blad1!$D$8" xr:uid="{EB2C68D6-2900-4EA4-8589-7B9C2D8EBAE6}"/>
    <hyperlink ref="AH12:AI12" location="'R5Post main'!B12" display="'R5Post main'!B12" xr:uid="{7BBC9FB6-A1C4-4528-B99B-A1B2A704C9C1}"/>
    <hyperlink ref="AH17:AI17" location="'R5Post main'!B17" display="'R5Post main'!B17" xr:uid="{9C79D644-C6C1-414B-9765-24BA9CDC9E3B}"/>
    <hyperlink ref="AH16:AI16" location="'R5Post main'!B16" display="'R5Post main'!B16" xr:uid="{F78DDC90-B5B1-46BD-8FF8-0942CD496DCE}"/>
    <hyperlink ref="AH15:AI15" location="'R5Post main'!B15" display="'R5Post main'!B15" xr:uid="{7AA8A1FA-01C6-4F71-923F-3AD554DD3AC7}"/>
    <hyperlink ref="AH14:AI14" location="'R5Post main'!B14" display="'R5Post main'!B14" xr:uid="{6A6CC7F2-03D1-49F2-92DD-DC00ED7CFA57}"/>
    <hyperlink ref="AH13:AI13" location="'R5Post main'!B13" display="'R5Post main'!B13" xr:uid="{03B9FAE7-D613-42DD-A6D2-CA759DB862B7}"/>
    <hyperlink ref="AJ12" location="Blad1!$D$7" display="Blad1!$D$7" xr:uid="{2930777D-F4CF-420F-BB38-A905C05AE28E}"/>
    <hyperlink ref="AJ16" location="Blad1!$D$8" display="Blad1!$D$8" xr:uid="{75913DF9-BD36-4DAC-963B-8B8F115DB14A}"/>
    <hyperlink ref="AJ17" location="Blad1!$D$9" display="Blad1!$D$9" xr:uid="{3D8778D3-A870-4E76-8E29-48EDB9C61CA5}"/>
    <hyperlink ref="AJ13" location="Blad1!$D$8" display="Blad1!$D$8" xr:uid="{F804D139-8033-4431-94EC-B64E139AFE54}"/>
    <hyperlink ref="AJ14" location="Blad1!$D$8" display="Blad1!$D$8" xr:uid="{27F3CD84-596D-47DD-A510-FFF799593E38}"/>
    <hyperlink ref="AJ15" location="Blad1!$D$8" display="Blad1!$D$8" xr:uid="{3DB34606-0618-4744-9505-CF402E6E3BFC}"/>
    <hyperlink ref="AJ12:AK12" location="'R5Post main'!B12" display="'R5Post main'!B12" xr:uid="{89F276B5-3E70-4302-8779-EFB5BA02AAF8}"/>
    <hyperlink ref="AJ17:AK17" location="'R5Post main'!B17" display="'R5Post main'!B17" xr:uid="{1B5870A3-3B2D-4A55-8593-9BA4E451D0B1}"/>
    <hyperlink ref="AJ16:AK16" location="'R5Post main'!B16" display="'R5Post main'!B16" xr:uid="{2E6D6479-4A5C-4006-8B2B-21A60F13BEB7}"/>
    <hyperlink ref="AJ15:AK15" location="'R5Post main'!B15" display="'R5Post main'!B15" xr:uid="{F732759B-E077-4616-8F0E-0D417BF98FAF}"/>
    <hyperlink ref="AJ14:AK14" location="'R5Post main'!B14" display="'R5Post main'!B14" xr:uid="{5C52F729-7585-4FB1-A2E6-31013D9757CB}"/>
    <hyperlink ref="AJ13:AK13" location="'R5Post main'!B13" display="'R5Post main'!B13" xr:uid="{36479654-4464-4085-9B2B-CCC7103BC860}"/>
    <hyperlink ref="AL12" location="Blad1!$D$7" display="Blad1!$D$7" xr:uid="{F0323460-A31E-48C0-91F8-EC8F9ADA4F75}"/>
    <hyperlink ref="AL16" location="Blad1!$D$8" display="Blad1!$D$8" xr:uid="{8914EFCA-BAED-42AB-9F0A-21561191A7EF}"/>
    <hyperlink ref="AL17" location="Blad1!$D$9" display="Blad1!$D$9" xr:uid="{A78E94B9-E1F9-4649-A75C-C5F30F0104EA}"/>
    <hyperlink ref="AL13" location="Blad1!$D$8" display="Blad1!$D$8" xr:uid="{DAB840E0-F2C2-460F-8858-810721FDB212}"/>
    <hyperlink ref="AL14" location="Blad1!$D$8" display="Blad1!$D$8" xr:uid="{2E99EBD8-63C3-40E1-9F2C-440B22F280F3}"/>
    <hyperlink ref="AL15" location="Blad1!$D$8" display="Blad1!$D$8" xr:uid="{87C94BBF-D4C9-4D3E-A53C-580D16645195}"/>
    <hyperlink ref="AL12:AM12" location="'R5Post main'!B12" display="'R5Post main'!B12" xr:uid="{EA057733-A374-4433-82BD-ED692E00FFC8}"/>
    <hyperlink ref="AL17:AM17" location="'R5Post main'!B17" display="'R5Post main'!B17" xr:uid="{FFE271A9-2CFF-451E-BCE5-C82A9A35CC01}"/>
    <hyperlink ref="AL16:AM16" location="'R5Post main'!B16" display="'R5Post main'!B16" xr:uid="{2457DF08-BC03-4D59-B993-66DBC4345544}"/>
    <hyperlink ref="AL15:AM15" location="'R5Post main'!B15" display="'R5Post main'!B15" xr:uid="{E1E38363-7D7F-4838-AE2D-2F6932398DEA}"/>
    <hyperlink ref="AL14:AM14" location="'R5Post main'!B14" display="'R5Post main'!B14" xr:uid="{F03BF311-E426-4C65-B31B-1033FD6A5D5E}"/>
    <hyperlink ref="AL13:AM13" location="'R5Post main'!B13" display="'R5Post main'!B13" xr:uid="{E26287A6-BA60-4F1B-93A5-DEFD12887E27}"/>
    <hyperlink ref="AN12" location="Blad1!$D$7" display="Blad1!$D$7" xr:uid="{7FB2E163-A5DA-42C6-AE77-54A3343CC5C2}"/>
    <hyperlink ref="AN16" location="Blad1!$D$8" display="Blad1!$D$8" xr:uid="{35C0AABC-C21C-43BF-91E5-61343C3C00CD}"/>
    <hyperlink ref="AN17" location="Blad1!$D$9" display="Blad1!$D$9" xr:uid="{DFA1F3E8-17F4-44E6-95AD-60058C8C1DC7}"/>
    <hyperlink ref="AN13" location="Blad1!$D$8" display="Blad1!$D$8" xr:uid="{4D200629-37B2-4560-84BC-CC362FADB085}"/>
    <hyperlink ref="AN14" location="Blad1!$D$8" display="Blad1!$D$8" xr:uid="{D5047E47-4D64-43B8-96A6-C6ABFB896AAA}"/>
    <hyperlink ref="AN15" location="Blad1!$D$8" display="Blad1!$D$8" xr:uid="{0C95F6CF-EEA2-4325-8783-F1E25F2CED80}"/>
    <hyperlink ref="AN12:AO12" location="'R5Post main'!B12" display="'R5Post main'!B12" xr:uid="{DB105B5D-AD71-4699-8BB5-77F55D18C8A3}"/>
    <hyperlink ref="AN17:AO17" location="'R5Post main'!B17" display="'R5Post main'!B17" xr:uid="{941C7B65-FA2A-4318-BADF-A37045CE29D6}"/>
    <hyperlink ref="AN16:AO16" location="'R5Post main'!B16" display="'R5Post main'!B16" xr:uid="{C1B328D0-2F16-4813-BE75-CEE597F58DF6}"/>
    <hyperlink ref="AN15:AO15" location="'R5Post main'!B15" display="'R5Post main'!B15" xr:uid="{5142F51A-1E37-47DD-A785-DF1A6EFA69D2}"/>
    <hyperlink ref="AN14:AO14" location="'R5Post main'!B14" display="'R5Post main'!B14" xr:uid="{00B181D7-EE44-4CC6-8A1C-CC83FAB50F7A}"/>
    <hyperlink ref="AN13:AO13" location="'R5Post main'!B13" display="'R5Post main'!B13" xr:uid="{0347D33F-7E08-424F-B325-0ED3CD088C13}"/>
    <hyperlink ref="AP12" location="Blad1!$D$7" display="Blad1!$D$7" xr:uid="{C1B166D5-95E2-4536-9E08-992A2598D6B4}"/>
    <hyperlink ref="AP16" location="Blad1!$D$8" display="Blad1!$D$8" xr:uid="{2218A963-C869-4CBE-AC4A-70942481E154}"/>
    <hyperlink ref="AP17" location="Blad1!$D$9" display="Blad1!$D$9" xr:uid="{B696A46B-BBAA-4387-B94C-0B169E935761}"/>
    <hyperlink ref="AP13" location="Blad1!$D$8" display="Blad1!$D$8" xr:uid="{97EFB0A6-AEAA-422A-AF3C-8C80713D2571}"/>
    <hyperlink ref="AP14" location="Blad1!$D$8" display="Blad1!$D$8" xr:uid="{43BBB55B-B6CC-4C23-A124-62447A2F9354}"/>
    <hyperlink ref="AP15" location="Blad1!$D$8" display="Blad1!$D$8" xr:uid="{93E91142-907F-4D97-8A2D-4AB112BE0A68}"/>
    <hyperlink ref="AP12:AQ12" location="'R5Post main'!B12" display="'R5Post main'!B12" xr:uid="{073D492B-E2C1-42F8-8B41-7E76B22DEA28}"/>
    <hyperlink ref="AP17:AQ17" location="'R5Post main'!B17" display="'R5Post main'!B17" xr:uid="{B55B6390-C232-44D6-B67C-7E27767EE229}"/>
    <hyperlink ref="AP16:AQ16" location="'R5Post main'!B16" display="'R5Post main'!B16" xr:uid="{90F689BB-94BC-4C35-83BB-5B615E86743E}"/>
    <hyperlink ref="AP15:AQ15" location="'R5Post main'!B15" display="'R5Post main'!B15" xr:uid="{AED4F30D-3CDD-4FD7-B9CD-DABB854AC029}"/>
    <hyperlink ref="AP14:AQ14" location="'R5Post main'!B14" display="'R5Post main'!B14" xr:uid="{7951D369-BF59-406B-A5F1-463E95069BE8}"/>
    <hyperlink ref="AP13:AQ13" location="'R5Post main'!B13" display="'R5Post main'!B13" xr:uid="{5004386E-48C0-4C9F-A4DD-C25FB11F81E0}"/>
    <hyperlink ref="AR12" location="Blad1!$D$7" display="Blad1!$D$7" xr:uid="{3A4C5E7D-A56E-4AFD-88ED-2008EA5521FF}"/>
    <hyperlink ref="AR16" location="Blad1!$D$8" display="Blad1!$D$8" xr:uid="{156688E9-23C5-4B36-B6D3-14B7F0F9E3A6}"/>
    <hyperlink ref="AR17" location="Blad1!$D$9" display="Blad1!$D$9" xr:uid="{DB6BD9CC-EEA2-43FF-83BF-1FD125F3F4C5}"/>
    <hyperlink ref="AR13" location="Blad1!$D$8" display="Blad1!$D$8" xr:uid="{180E1B15-3751-453E-B94C-F3011025CA03}"/>
    <hyperlink ref="AR14" location="Blad1!$D$8" display="Blad1!$D$8" xr:uid="{3BCA87FE-F3E0-455D-AF7E-604E22B34624}"/>
    <hyperlink ref="AR15" location="Blad1!$D$8" display="Blad1!$D$8" xr:uid="{53EB2B9F-1792-414F-AF74-01C596A7FDD0}"/>
    <hyperlink ref="AR12:AS12" location="'R5Post main'!B12" display="'R5Post main'!B12" xr:uid="{BEF661D5-1872-47D0-B2D5-08A95C0A1B5A}"/>
    <hyperlink ref="AR17:AS17" location="'R5Post main'!B17" display="'R5Post main'!B17" xr:uid="{58CEA0BA-6057-47B7-936C-C55CD83EBF03}"/>
    <hyperlink ref="AR16:AS16" location="'R5Post main'!B16" display="'R5Post main'!B16" xr:uid="{26E12F40-0BBF-40CA-A62B-FA287478A0D0}"/>
    <hyperlink ref="AR15:AS15" location="'R5Post main'!B15" display="'R5Post main'!B15" xr:uid="{731754BC-C412-41E9-882D-2F7E6DEB38F5}"/>
    <hyperlink ref="AR14:AS14" location="'R5Post main'!B14" display="'R5Post main'!B14" xr:uid="{848BAFB2-DD00-4575-A39E-902D5289284B}"/>
    <hyperlink ref="AR13:AS13" location="'R5Post main'!B13" display="'R5Post main'!B13" xr:uid="{F34A558B-FFA2-4CD0-A9CD-D43D296BEDC2}"/>
    <hyperlink ref="AT12" location="Blad1!$D$7" display="Blad1!$D$7" xr:uid="{B402E19F-5296-43B8-B90D-0737CD8BB0ED}"/>
    <hyperlink ref="AT16" location="Blad1!$D$8" display="Blad1!$D$8" xr:uid="{5E4E9645-F7B0-494B-90D2-A008F8D9D6EC}"/>
    <hyperlink ref="AT17" location="Blad1!$D$9" display="Blad1!$D$9" xr:uid="{5C59B542-01A7-4BE9-995E-C8730609BFC8}"/>
    <hyperlink ref="AT13" location="Blad1!$D$8" display="Blad1!$D$8" xr:uid="{D2AE3A0F-2753-44DA-B4E9-A3DDC46EA658}"/>
    <hyperlink ref="AT14" location="Blad1!$D$8" display="Blad1!$D$8" xr:uid="{90C217A6-4D57-4363-8857-680030E43A92}"/>
    <hyperlink ref="AT15" location="Blad1!$D$8" display="Blad1!$D$8" xr:uid="{DA7A6A66-837A-45D6-B470-338C3B301AF8}"/>
    <hyperlink ref="AT12:AU12" location="'R5Post main'!B12" display="'R5Post main'!B12" xr:uid="{08796EE8-51F1-4F18-9439-8E9C8CF72CF5}"/>
    <hyperlink ref="AT17:AU17" location="'R5Post main'!B17" display="'R5Post main'!B17" xr:uid="{0AF2B462-C8EB-41BD-9B21-FB5D4D1872FC}"/>
    <hyperlink ref="AT16:AU16" location="'R5Post main'!B16" display="'R5Post main'!B16" xr:uid="{FC747009-BC20-422D-9DFC-B4ED64DC199F}"/>
    <hyperlink ref="AT15:AU15" location="'R5Post main'!B15" display="'R5Post main'!B15" xr:uid="{9F41D9A7-AAB5-4395-B4FC-5C78CA760B98}"/>
    <hyperlink ref="AT14:AU14" location="'R5Post main'!B14" display="'R5Post main'!B14" xr:uid="{F8ABD6D6-1B49-423A-B1AE-F6E2DB90C7F4}"/>
    <hyperlink ref="AT13:AU13" location="'R5Post main'!B13" display="'R5Post main'!B13" xr:uid="{027E6C22-E1E5-48A6-A4B5-94BCE1984B8A}"/>
    <hyperlink ref="AV12" location="Blad1!$D$7" display="Blad1!$D$7" xr:uid="{8706B6CF-FF9D-4A75-B3D3-C6AB79A0C901}"/>
    <hyperlink ref="AV16" location="Blad1!$D$8" display="Blad1!$D$8" xr:uid="{269BAA6B-8A8E-42BD-94D1-2A6B0B0AC390}"/>
    <hyperlink ref="AV17" location="Blad1!$D$9" display="Blad1!$D$9" xr:uid="{164A0084-5E76-4913-826E-E15013BA8A31}"/>
    <hyperlink ref="AV13" location="Blad1!$D$8" display="Blad1!$D$8" xr:uid="{FB1E6EF6-8BF2-4108-81A4-2F4FACC87098}"/>
    <hyperlink ref="AV14" location="Blad1!$D$8" display="Blad1!$D$8" xr:uid="{667A97D7-FFE3-434F-B229-3156DC7898D0}"/>
    <hyperlink ref="AV15" location="Blad1!$D$8" display="Blad1!$D$8" xr:uid="{4A47F9F0-9644-4127-9E76-16037BC9DFDF}"/>
    <hyperlink ref="AV12:AW12" location="'R5Post main'!B12" display="'R5Post main'!B12" xr:uid="{C9844085-56FE-4928-8A47-B69130616E10}"/>
    <hyperlink ref="AV17:AW17" location="'R5Post main'!B17" display="'R5Post main'!B17" xr:uid="{ACB64129-C37E-4FB6-A4EC-47C5433E7F81}"/>
    <hyperlink ref="AV16:AW16" location="'R5Post main'!B16" display="'R5Post main'!B16" xr:uid="{DB0F8E7D-30ED-49DD-9041-1D78B49576F7}"/>
    <hyperlink ref="AV15:AW15" location="'R5Post main'!B15" display="'R5Post main'!B15" xr:uid="{96B29160-D257-47D2-A9A1-7B2A469C8387}"/>
    <hyperlink ref="AV14:AW14" location="'R5Post main'!B14" display="'R5Post main'!B14" xr:uid="{753FB4EB-8004-4CBC-84E0-6E9289E6BC39}"/>
    <hyperlink ref="AV13:AW13" location="'R5Post main'!B13" display="'R5Post main'!B13" xr:uid="{ECA88CB4-3B06-4A90-A7C8-8F2FD9F87A57}"/>
    <hyperlink ref="AX12" location="Blad1!$D$7" display="Blad1!$D$7" xr:uid="{35AE6547-F47A-4B2E-AC14-20EC62B893B5}"/>
    <hyperlink ref="AX16" location="Blad1!$D$8" display="Blad1!$D$8" xr:uid="{DFDDA5DA-F181-4F78-BDBC-DBBD5634FFF3}"/>
    <hyperlink ref="AX17" location="Blad1!$D$9" display="Blad1!$D$9" xr:uid="{A92C3396-AC2F-4D60-AA15-9C348C606EBF}"/>
    <hyperlink ref="AX13" location="Blad1!$D$8" display="Blad1!$D$8" xr:uid="{ADA42F35-7405-4B7B-BFF8-F3829E9AA31E}"/>
    <hyperlink ref="AX14" location="Blad1!$D$8" display="Blad1!$D$8" xr:uid="{DE7B1E8E-D180-4EAD-81E3-D1E144A61D79}"/>
    <hyperlink ref="AX15" location="Blad1!$D$8" display="Blad1!$D$8" xr:uid="{292EB440-6211-454C-9114-0600D59724D7}"/>
    <hyperlink ref="AX12:AY12" location="'R5Post main'!B12" display="'R5Post main'!B12" xr:uid="{09C52203-7286-4654-B5F7-5C9F039A55CE}"/>
    <hyperlink ref="AX17:AY17" location="'R5Post main'!B17" display="'R5Post main'!B17" xr:uid="{77D4F5DE-E9DE-4347-836C-2D18907AEE1D}"/>
    <hyperlink ref="AX16:AY16" location="'R5Post main'!B16" display="'R5Post main'!B16" xr:uid="{1937204F-5344-4E57-B5F2-44085960E7D3}"/>
    <hyperlink ref="AX15:AY15" location="'R5Post main'!B15" display="'R5Post main'!B15" xr:uid="{4B1B7BC7-0ACF-460F-AEC4-3594B59F97C6}"/>
    <hyperlink ref="AX14:AY14" location="'R5Post main'!B14" display="'R5Post main'!B14" xr:uid="{2B985DE3-9A93-43C9-9F68-F20CB16B511D}"/>
    <hyperlink ref="AX13:AY13" location="'R5Post main'!B13" display="'R5Post main'!B13" xr:uid="{345770F8-D4A3-49ED-AAC4-2C9DBB141B9F}"/>
    <hyperlink ref="AZ12" location="Blad1!$D$7" display="Blad1!$D$7" xr:uid="{104E7E29-EAFB-4DA4-8D30-16DE6484A7CF}"/>
    <hyperlink ref="AZ16" location="Blad1!$D$8" display="Blad1!$D$8" xr:uid="{1E29BAAD-A4B5-4A40-8254-3F82C5A539BF}"/>
    <hyperlink ref="AZ17" location="Blad1!$D$9" display="Blad1!$D$9" xr:uid="{BF9C1021-9304-4E1B-8E3F-EB70C47AB954}"/>
    <hyperlink ref="AZ13" location="Blad1!$D$8" display="Blad1!$D$8" xr:uid="{D79BCBAD-D23D-455E-B1E2-A34CFA601DBB}"/>
    <hyperlink ref="AZ14" location="Blad1!$D$8" display="Blad1!$D$8" xr:uid="{687CA019-F2E2-4283-B702-74897DC081FF}"/>
    <hyperlink ref="AZ15" location="Blad1!$D$8" display="Blad1!$D$8" xr:uid="{05B35ECA-3192-4252-91A7-C7F13F44C534}"/>
    <hyperlink ref="AZ12:BA12" location="'R5Post main'!B12" display="'R5Post main'!B12" xr:uid="{0260922E-6B8E-4A83-B5E0-21E0DB1B39AD}"/>
    <hyperlink ref="AZ17:BA17" location="'R5Post main'!B17" display="'R5Post main'!B17" xr:uid="{D36C0977-128F-4902-9D45-44AF8D82FD27}"/>
    <hyperlink ref="AZ16:BA16" location="'R5Post main'!B16" display="'R5Post main'!B16" xr:uid="{C5C88048-79D7-4E83-8E61-273F3A80A3A8}"/>
    <hyperlink ref="AZ15:BA15" location="'R5Post main'!B15" display="'R5Post main'!B15" xr:uid="{93F42427-45F7-4759-9A5E-C8F4CAF1910C}"/>
    <hyperlink ref="AZ14:BA14" location="'R5Post main'!B14" display="'R5Post main'!B14" xr:uid="{DE26602E-2905-4F4C-9ED7-B66592655F40}"/>
    <hyperlink ref="AZ13:BA13" location="'R5Post main'!B13" display="'R5Post main'!B13" xr:uid="{032F3178-F3CF-4DFC-B4D0-367A4266B444}"/>
    <hyperlink ref="BB12" location="Blad1!$D$7" display="Blad1!$D$7" xr:uid="{4B43AC75-6823-4390-A538-673C204B3B48}"/>
    <hyperlink ref="BB16" location="Blad1!$D$8" display="Blad1!$D$8" xr:uid="{B5A7E90D-351D-4C17-BC07-7412C252759C}"/>
    <hyperlink ref="BB17" location="Blad1!$D$9" display="Blad1!$D$9" xr:uid="{8FB77709-D190-454C-801A-7BD66F7D9B65}"/>
    <hyperlink ref="BB13" location="Blad1!$D$8" display="Blad1!$D$8" xr:uid="{A5D5054F-8513-4EC4-AE9B-92BC742F79C9}"/>
    <hyperlink ref="BB14" location="Blad1!$D$8" display="Blad1!$D$8" xr:uid="{4EE21410-4A13-4FBD-801E-9E0B8FE7904D}"/>
    <hyperlink ref="BB15" location="Blad1!$D$8" display="Blad1!$D$8" xr:uid="{58829620-FC42-42FD-8EE7-468485B9AC01}"/>
    <hyperlink ref="BB12:BC12" location="'R5Post main'!B12" display="'R5Post main'!B12" xr:uid="{71A6BE65-4C87-4F21-87D2-3B6F99DCCD12}"/>
    <hyperlink ref="BB17:BC17" location="'R5Post main'!B17" display="'R5Post main'!B17" xr:uid="{00EE2DBC-D19B-4CB4-A5FF-4BEC3EBD2EE3}"/>
    <hyperlink ref="BB16:BC16" location="'R5Post main'!B16" display="'R5Post main'!B16" xr:uid="{D2565065-5D6C-44C8-BF32-2E18203E4420}"/>
    <hyperlink ref="BB15:BC15" location="'R5Post main'!B15" display="'R5Post main'!B15" xr:uid="{44C38A86-204B-477C-A315-BEA3963780D7}"/>
    <hyperlink ref="BB14:BC14" location="'R5Post main'!B14" display="'R5Post main'!B14" xr:uid="{871B8203-C0F6-41E4-8DF7-49B161790D15}"/>
    <hyperlink ref="BB13:BC13" location="'R5Post main'!B13" display="'R5Post main'!B13" xr:uid="{B69C1AD8-F672-46C2-95BB-3A270DC0F2F8}"/>
    <hyperlink ref="BD12" location="Blad1!$D$7" display="Blad1!$D$7" xr:uid="{1E2AD427-7794-4E29-809F-315B27736568}"/>
    <hyperlink ref="BD16" location="Blad1!$D$8" display="Blad1!$D$8" xr:uid="{A75268D9-6B9A-4F1C-9FE1-14DB98B35AC2}"/>
    <hyperlink ref="BD17" location="Blad1!$D$9" display="Blad1!$D$9" xr:uid="{8FFB5355-2D2D-4C48-AD45-BFC546C10B62}"/>
    <hyperlink ref="BD13" location="Blad1!$D$8" display="Blad1!$D$8" xr:uid="{5F032805-58CB-404C-AC82-D6BA01EA2CA4}"/>
    <hyperlink ref="BD14" location="Blad1!$D$8" display="Blad1!$D$8" xr:uid="{1251B363-D487-4D30-BA03-4EC0AF5E1D25}"/>
    <hyperlink ref="BD15" location="Blad1!$D$8" display="Blad1!$D$8" xr:uid="{D8A6588C-7184-4C1F-AD8C-C0379667BA7D}"/>
    <hyperlink ref="BD12:BE12" location="'R5Post main'!B12" display="'R5Post main'!B12" xr:uid="{BBBB95AB-6C57-4029-84BE-D90163635B6C}"/>
    <hyperlink ref="BD17:BE17" location="'R5Post main'!B17" display="'R5Post main'!B17" xr:uid="{B8BBA49C-083B-4E86-A775-8C3D972A869E}"/>
    <hyperlink ref="BD16:BE16" location="'R5Post main'!B16" display="'R5Post main'!B16" xr:uid="{B156A68A-935D-45B5-B883-5DEE741CCC0B}"/>
    <hyperlink ref="BD15:BE15" location="'R5Post main'!B15" display="'R5Post main'!B15" xr:uid="{818A33F9-8F08-4F7B-8759-377520B0735C}"/>
    <hyperlink ref="BD14:BE14" location="'R5Post main'!B14" display="'R5Post main'!B14" xr:uid="{A80AFDB8-A80B-4924-88D9-3201E22AD4F2}"/>
    <hyperlink ref="BD13:BE13" location="'R5Post main'!B13" display="'R5Post main'!B13" xr:uid="{1D440060-0EEC-4787-992C-F88F2CF06646}"/>
    <hyperlink ref="BF12" location="Blad1!$D$7" display="Blad1!$D$7" xr:uid="{551439E4-45F8-4AD0-A7E4-544A99CC8736}"/>
    <hyperlink ref="BF16" location="Blad1!$D$8" display="Blad1!$D$8" xr:uid="{86C2B95C-B8DE-4538-BAE4-122560E80CE3}"/>
    <hyperlink ref="BF17" location="Blad1!$D$9" display="Blad1!$D$9" xr:uid="{5B929C79-9B5B-444D-81DC-D0C9D41FC3C7}"/>
    <hyperlink ref="BF13" location="Blad1!$D$8" display="Blad1!$D$8" xr:uid="{71C2EFFE-93AC-43F4-95E8-543DAB442D71}"/>
    <hyperlink ref="BF14" location="Blad1!$D$8" display="Blad1!$D$8" xr:uid="{0D59961D-7EC9-4FB9-AF70-B2FBF60BF2DD}"/>
    <hyperlink ref="BF15" location="Blad1!$D$8" display="Blad1!$D$8" xr:uid="{ABA12FF2-B2F1-4BBB-B382-9411F7DC3C52}"/>
    <hyperlink ref="BF12:BG12" location="'R5Post main'!B12" display="'R5Post main'!B12" xr:uid="{82BBE1B2-50F3-420B-8B91-5DD61B2963CA}"/>
    <hyperlink ref="BF17:BG17" location="'R5Post main'!B17" display="'R5Post main'!B17" xr:uid="{337FE88A-4ACB-4459-91A9-95473D9A9F4A}"/>
    <hyperlink ref="BF16:BG16" location="'R5Post main'!B16" display="'R5Post main'!B16" xr:uid="{B676F0E9-F31E-4D49-9B79-A5F291AB1779}"/>
    <hyperlink ref="BF15:BG15" location="'R5Post main'!B15" display="'R5Post main'!B15" xr:uid="{DF96FB27-7EBB-47CF-B7DE-6C3F1A46D1A4}"/>
    <hyperlink ref="BF14:BG14" location="'R5Post main'!B14" display="'R5Post main'!B14" xr:uid="{C7528B0A-854A-4433-B8EF-79339FBDFBE7}"/>
    <hyperlink ref="BF13:BG13" location="'R5Post main'!B13" display="'R5Post main'!B13" xr:uid="{C34CD60C-8D93-46DD-A9C3-1B0DE3C31D4C}"/>
    <hyperlink ref="BH12" location="Blad1!$D$7" display="Blad1!$D$7" xr:uid="{E4220C16-C0D6-4274-8785-9ED64BDEEFBA}"/>
    <hyperlink ref="BH16" location="Blad1!$D$8" display="Blad1!$D$8" xr:uid="{48FEA45C-483A-4B94-9273-77601EA84A7C}"/>
    <hyperlink ref="BH17" location="Blad1!$D$9" display="Blad1!$D$9" xr:uid="{93EFB555-A463-486A-B35C-E8B90C406F69}"/>
    <hyperlink ref="BH13" location="Blad1!$D$8" display="Blad1!$D$8" xr:uid="{F2D541AF-5EBF-4BBD-85DA-D1A4FB91131D}"/>
    <hyperlink ref="BH14" location="Blad1!$D$8" display="Blad1!$D$8" xr:uid="{F84C31D6-B70D-4340-A2E6-784D03DD9051}"/>
    <hyperlink ref="BH15" location="Blad1!$D$8" display="Blad1!$D$8" xr:uid="{99C03038-FC1A-4F3E-9AAA-DA1B102236F9}"/>
    <hyperlink ref="BH12:BI12" location="'R5Post main'!B12" display="'R5Post main'!B12" xr:uid="{3522CA31-460F-4175-9DEF-A2595F4C4305}"/>
    <hyperlink ref="BH17:BI17" location="'R5Post main'!B17" display="'R5Post main'!B17" xr:uid="{9624CBF6-3668-4E0E-916C-95EBD85602FB}"/>
    <hyperlink ref="BH16:BI16" location="'R5Post main'!B16" display="'R5Post main'!B16" xr:uid="{6360D507-9AE5-4382-9959-F82E16B8F3D3}"/>
    <hyperlink ref="BH15:BI15" location="'R5Post main'!B15" display="'R5Post main'!B15" xr:uid="{BBB8EE68-228E-4BE5-8930-ED09E27F648B}"/>
    <hyperlink ref="BH14:BI14" location="'R5Post main'!B14" display="'R5Post main'!B14" xr:uid="{73979ABC-57A4-4420-9CF1-3B6F82987BB3}"/>
    <hyperlink ref="BH13:BI13" location="'R5Post main'!B13" display="'R5Post main'!B13" xr:uid="{362F194C-0B1E-46EC-A345-397D83C5CE92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FileDates">
                <anchor>
                  <from>
                    <xdr:col>0</xdr:col>
                    <xdr:colOff>123825</xdr:colOff>
                    <xdr:row>1</xdr:row>
                    <xdr:rowOff>133350</xdr:rowOff>
                  </from>
                  <to>
                    <xdr:col>1</xdr:col>
                    <xdr:colOff>123825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urgeFiles">
                <anchor>
                  <from>
                    <xdr:col>12</xdr:col>
                    <xdr:colOff>66675</xdr:colOff>
                    <xdr:row>1</xdr:row>
                    <xdr:rowOff>133350</xdr:rowOff>
                  </from>
                  <to>
                    <xdr:col>13</xdr:col>
                    <xdr:colOff>457200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E24"/>
  <sheetViews>
    <sheetView workbookViewId="0">
      <selection activeCell="E44" sqref="E44"/>
    </sheetView>
  </sheetViews>
  <sheetFormatPr defaultRowHeight="15" x14ac:dyDescent="0.25"/>
  <sheetData>
    <row r="24" spans="5:5" x14ac:dyDescent="0.25">
      <c r="E24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R5Post main</vt:lpstr>
      <vt:lpstr>Help section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2019-01-28T15:17:15Z</dcterms:created>
  <dcterms:modified xsi:type="dcterms:W3CDTF">2019-07-01T11:46:07Z</dcterms:modified>
</cp:coreProperties>
</file>